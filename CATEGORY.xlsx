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AI\Desktop\"/>
    </mc:Choice>
  </mc:AlternateContent>
  <xr:revisionPtr revIDLastSave="0" documentId="8_{7508171B-A962-451E-9E92-D9032DACF604}" xr6:coauthVersionLast="47" xr6:coauthVersionMax="47" xr10:uidLastSave="{00000000-0000-0000-0000-000000000000}"/>
  <bookViews>
    <workbookView xWindow="-120" yWindow="-120" windowWidth="24240" windowHeight="13020" tabRatio="856" xr2:uid="{C6002C14-9046-4584-AB6D-AE1907E8C021}"/>
  </bookViews>
  <sheets>
    <sheet name="Category Wise Data" sheetId="23" r:id="rId1"/>
    <sheet name="DATA 2026-27" sheetId="1" r:id="rId2"/>
    <sheet name="SUMMARY" sheetId="6" state="hidden" r:id="rId3"/>
    <sheet name="Sheet11" sheetId="22" state="hidden" r:id="rId4"/>
    <sheet name="NOTIFICATION DATE" sheetId="3" state="hidden" r:id="rId5"/>
    <sheet name="CATEGORY" sheetId="7" state="hidden" r:id="rId6"/>
    <sheet name="Mega" sheetId="13" state="hidden" r:id="rId7"/>
    <sheet name="LARGE" sheetId="17" state="hidden" r:id="rId8"/>
    <sheet name="MEDIUM" sheetId="19" state="hidden" r:id="rId9"/>
    <sheet name="SMALL" sheetId="20" state="hidden" r:id="rId10"/>
    <sheet name="MICRO" sheetId="21" state="hidden" r:id="rId11"/>
  </sheets>
  <externalReferences>
    <externalReference r:id="rId12"/>
  </externalReferences>
  <definedNames>
    <definedName name="_xlnm._FilterDatabase" localSheetId="4" hidden="1">'NOTIFICATION DATE'!$A$1:$P$187</definedName>
    <definedName name="_xlcn.WorksheetConnection_Book3Table1" hidden="1">Table1[]</definedName>
    <definedName name="Branch_name">[1]Sheet1!$D$2:$D$186</definedName>
    <definedName name="budget_branch" localSheetId="7">Table1[UNIT NAME]</definedName>
    <definedName name="budget_branch" localSheetId="8">Table1[UNIT NAME]</definedName>
    <definedName name="budget_branch" localSheetId="10">Table1[UNIT NAME]</definedName>
    <definedName name="budget_branch" localSheetId="9">Table1[UNIT NAME]</definedName>
    <definedName name="budget_branch">Table1[UNIT NAME]</definedName>
    <definedName name="_xlnm.Print_Area" localSheetId="2">SUMMARY!$A$1:$G$30</definedName>
    <definedName name="_xlnm.Print_Titles" localSheetId="1">'DATA 2026-27'!$1:$1</definedName>
    <definedName name="RNG_STUDENT_CATEGORY">CATEGORY!$C$11:$D$15</definedName>
  </definedNames>
  <calcPr calcId="191029"/>
  <pivotCaches>
    <pivotCache cacheId="18" r:id="rId13"/>
    <pivotCache cacheId="19" r:id="rId14"/>
    <pivotCache cacheId="20" r:id="rId15"/>
    <pivotCache cacheId="21" r:id="rId16"/>
    <pivotCache cacheId="22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3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SET UP DATE" columnId="SET UP DATE">
                <x16:calculatedTimeColumn columnName="SET UP DATE (Year)" columnId="SET UP DATE (Year)" contentType="years" isSelected="1"/>
                <x16:calculatedTimeColumn columnName="SET UP DATE (Quarter)" columnId="SET UP DATE (Quarter)" contentType="quarters" isSelected="1"/>
                <x16:calculatedTimeColumn columnName="SET UP DATE (Month Index)" columnId="SET UP DATE (Month Index)" contentType="monthsindex" isSelected="1"/>
                <x16:calculatedTimeColumn columnName="SET UP DATE (Month)" columnId="SET UP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0" i="1" l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96" i="1"/>
  <c r="M96" i="1" s="1"/>
  <c r="L95" i="1"/>
  <c r="M95" i="1" s="1"/>
  <c r="L92" i="1"/>
  <c r="M92" i="1" s="1"/>
  <c r="L91" i="1"/>
  <c r="M91" i="1" s="1"/>
  <c r="L86" i="1"/>
  <c r="M86" i="1" s="1"/>
  <c r="L84" i="1"/>
  <c r="M84" i="1" s="1"/>
  <c r="L82" i="1"/>
  <c r="M82" i="1" s="1"/>
  <c r="L81" i="1"/>
  <c r="M81" i="1" s="1"/>
  <c r="L80" i="1"/>
  <c r="M80" i="1" s="1"/>
  <c r="L78" i="1"/>
  <c r="M78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2" i="1"/>
  <c r="M62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O80" i="3" l="1"/>
  <c r="O81" i="3"/>
  <c r="O96" i="3"/>
  <c r="O121" i="3"/>
  <c r="O127" i="3"/>
  <c r="O128" i="3"/>
  <c r="O129" i="3"/>
  <c r="O145" i="3"/>
  <c r="O153" i="3"/>
  <c r="O159" i="3"/>
  <c r="O161" i="3"/>
  <c r="O169" i="3"/>
  <c r="O176" i="3"/>
  <c r="O177" i="3"/>
  <c r="O185" i="3"/>
  <c r="K187" i="3"/>
  <c r="O187" i="3" s="1"/>
  <c r="K186" i="3"/>
  <c r="O186" i="3" s="1"/>
  <c r="K185" i="3"/>
  <c r="K184" i="3"/>
  <c r="O184" i="3" s="1"/>
  <c r="K183" i="3"/>
  <c r="O183" i="3" s="1"/>
  <c r="K182" i="3"/>
  <c r="O182" i="3" s="1"/>
  <c r="K181" i="3"/>
  <c r="O181" i="3" s="1"/>
  <c r="K180" i="3"/>
  <c r="O180" i="3" s="1"/>
  <c r="K179" i="3"/>
  <c r="O179" i="3" s="1"/>
  <c r="K178" i="3"/>
  <c r="O178" i="3" s="1"/>
  <c r="K177" i="3"/>
  <c r="K176" i="3"/>
  <c r="K175" i="3"/>
  <c r="O175" i="3" s="1"/>
  <c r="K174" i="3"/>
  <c r="O174" i="3" s="1"/>
  <c r="K173" i="3"/>
  <c r="O173" i="3" s="1"/>
  <c r="K172" i="3"/>
  <c r="O172" i="3" s="1"/>
  <c r="K171" i="3"/>
  <c r="O171" i="3" s="1"/>
  <c r="K170" i="3"/>
  <c r="O170" i="3" s="1"/>
  <c r="K169" i="3"/>
  <c r="K168" i="3"/>
  <c r="O168" i="3" s="1"/>
  <c r="K167" i="3"/>
  <c r="O167" i="3" s="1"/>
  <c r="K166" i="3"/>
  <c r="O166" i="3" s="1"/>
  <c r="K165" i="3"/>
  <c r="O165" i="3" s="1"/>
  <c r="K164" i="3"/>
  <c r="O164" i="3" s="1"/>
  <c r="K163" i="3"/>
  <c r="O163" i="3" s="1"/>
  <c r="K162" i="3"/>
  <c r="O162" i="3" s="1"/>
  <c r="K161" i="3"/>
  <c r="K160" i="3"/>
  <c r="O160" i="3" s="1"/>
  <c r="K159" i="3"/>
  <c r="K158" i="3"/>
  <c r="O158" i="3" s="1"/>
  <c r="K157" i="3"/>
  <c r="O157" i="3" s="1"/>
  <c r="K156" i="3"/>
  <c r="O156" i="3" s="1"/>
  <c r="K155" i="3"/>
  <c r="O155" i="3" s="1"/>
  <c r="K154" i="3"/>
  <c r="O154" i="3" s="1"/>
  <c r="K153" i="3"/>
  <c r="K152" i="3"/>
  <c r="O152" i="3" s="1"/>
  <c r="K151" i="3"/>
  <c r="O151" i="3" s="1"/>
  <c r="K150" i="3"/>
  <c r="O150" i="3" s="1"/>
  <c r="K149" i="3"/>
  <c r="O149" i="3" s="1"/>
  <c r="K148" i="3"/>
  <c r="O148" i="3" s="1"/>
  <c r="K147" i="3"/>
  <c r="O147" i="3" s="1"/>
  <c r="K146" i="3"/>
  <c r="O146" i="3" s="1"/>
  <c r="K145" i="3"/>
  <c r="K144" i="3"/>
  <c r="O144" i="3" s="1"/>
  <c r="K143" i="3"/>
  <c r="O143" i="3" s="1"/>
  <c r="K142" i="3"/>
  <c r="O142" i="3" s="1"/>
  <c r="K141" i="3"/>
  <c r="O141" i="3" s="1"/>
  <c r="K140" i="3"/>
  <c r="O140" i="3" s="1"/>
  <c r="K139" i="3"/>
  <c r="O139" i="3" s="1"/>
  <c r="K138" i="3"/>
  <c r="O138" i="3" s="1"/>
  <c r="K137" i="3"/>
  <c r="O137" i="3" s="1"/>
  <c r="K136" i="3"/>
  <c r="O136" i="3" s="1"/>
  <c r="K135" i="3"/>
  <c r="O135" i="3" s="1"/>
  <c r="K134" i="3"/>
  <c r="O134" i="3" s="1"/>
  <c r="K133" i="3"/>
  <c r="O133" i="3" s="1"/>
  <c r="K132" i="3"/>
  <c r="O132" i="3" s="1"/>
  <c r="K131" i="3"/>
  <c r="O131" i="3" s="1"/>
  <c r="K130" i="3"/>
  <c r="O130" i="3" s="1"/>
  <c r="K129" i="3"/>
  <c r="K128" i="3"/>
  <c r="K127" i="3"/>
  <c r="K126" i="3"/>
  <c r="O126" i="3" s="1"/>
  <c r="K125" i="3"/>
  <c r="O125" i="3" s="1"/>
  <c r="K124" i="3"/>
  <c r="O124" i="3" s="1"/>
  <c r="K123" i="3"/>
  <c r="O123" i="3" s="1"/>
  <c r="K122" i="3"/>
  <c r="O122" i="3" s="1"/>
  <c r="K121" i="3"/>
  <c r="K120" i="3"/>
  <c r="O120" i="3" s="1"/>
  <c r="K119" i="3"/>
  <c r="O119" i="3" s="1"/>
  <c r="K118" i="3"/>
  <c r="O118" i="3" s="1"/>
  <c r="K117" i="3"/>
  <c r="O117" i="3" s="1"/>
  <c r="K116" i="3"/>
  <c r="O116" i="3" s="1"/>
  <c r="K115" i="3"/>
  <c r="O115" i="3" s="1"/>
  <c r="K114" i="3"/>
  <c r="O114" i="3" s="1"/>
  <c r="K113" i="3"/>
  <c r="O113" i="3" s="1"/>
  <c r="K112" i="3"/>
  <c r="O112" i="3" s="1"/>
  <c r="K111" i="3"/>
  <c r="O111" i="3" s="1"/>
  <c r="K110" i="3"/>
  <c r="O110" i="3" s="1"/>
  <c r="K109" i="3"/>
  <c r="O109" i="3" s="1"/>
  <c r="K108" i="3"/>
  <c r="O108" i="3" s="1"/>
  <c r="K107" i="3"/>
  <c r="O107" i="3" s="1"/>
  <c r="K106" i="3"/>
  <c r="O106" i="3" s="1"/>
  <c r="K105" i="3"/>
  <c r="O105" i="3" s="1"/>
  <c r="K104" i="3"/>
  <c r="O104" i="3" s="1"/>
  <c r="K103" i="3"/>
  <c r="O103" i="3" s="1"/>
  <c r="K102" i="3"/>
  <c r="O102" i="3" s="1"/>
  <c r="K101" i="3"/>
  <c r="O101" i="3" s="1"/>
  <c r="K100" i="3"/>
  <c r="O100" i="3" s="1"/>
  <c r="K99" i="3"/>
  <c r="O99" i="3" s="1"/>
  <c r="K98" i="3"/>
  <c r="O98" i="3" s="1"/>
  <c r="K97" i="3"/>
  <c r="O97" i="3" s="1"/>
  <c r="K96" i="3"/>
  <c r="K95" i="3"/>
  <c r="O95" i="3" s="1"/>
  <c r="K94" i="3"/>
  <c r="O94" i="3" s="1"/>
  <c r="K93" i="3"/>
  <c r="O93" i="3" s="1"/>
  <c r="K92" i="3"/>
  <c r="O92" i="3" s="1"/>
  <c r="K91" i="3"/>
  <c r="O91" i="3" s="1"/>
  <c r="K90" i="3"/>
  <c r="O90" i="3" s="1"/>
  <c r="K89" i="3"/>
  <c r="O89" i="3" s="1"/>
  <c r="K88" i="3"/>
  <c r="O88" i="3" s="1"/>
  <c r="K87" i="3"/>
  <c r="O87" i="3" s="1"/>
  <c r="K86" i="3"/>
  <c r="O86" i="3" s="1"/>
  <c r="K85" i="3"/>
  <c r="O85" i="3" s="1"/>
  <c r="K84" i="3"/>
  <c r="O84" i="3" s="1"/>
  <c r="K83" i="3"/>
  <c r="O83" i="3" s="1"/>
  <c r="K82" i="3"/>
  <c r="O82" i="3" s="1"/>
  <c r="K81" i="3"/>
  <c r="K80" i="3"/>
  <c r="K79" i="3"/>
  <c r="O79" i="3" s="1"/>
  <c r="K78" i="3"/>
  <c r="O78" i="3" s="1"/>
  <c r="K77" i="3"/>
  <c r="O77" i="3" s="1"/>
  <c r="K76" i="3"/>
  <c r="O76" i="3" s="1"/>
  <c r="K75" i="3"/>
  <c r="O75" i="3" s="1"/>
  <c r="K74" i="3"/>
  <c r="O74" i="3" s="1"/>
  <c r="K73" i="3"/>
  <c r="O73" i="3" s="1"/>
  <c r="K72" i="3"/>
  <c r="O72" i="3" s="1"/>
  <c r="K71" i="3"/>
  <c r="O71" i="3" s="1"/>
  <c r="K70" i="3"/>
  <c r="O70" i="3" s="1"/>
  <c r="K69" i="3"/>
  <c r="O69" i="3" s="1"/>
  <c r="K68" i="3"/>
  <c r="O68" i="3" s="1"/>
  <c r="K67" i="3"/>
  <c r="O67" i="3" s="1"/>
  <c r="K66" i="3"/>
  <c r="O66" i="3" s="1"/>
  <c r="K65" i="3"/>
  <c r="O65" i="3" s="1"/>
  <c r="K64" i="3"/>
  <c r="O64" i="3" s="1"/>
  <c r="K63" i="3"/>
  <c r="O63" i="3" s="1"/>
  <c r="K62" i="3"/>
  <c r="O62" i="3" s="1"/>
  <c r="K61" i="3"/>
  <c r="O61" i="3" s="1"/>
  <c r="K60" i="3"/>
  <c r="O60" i="3" s="1"/>
  <c r="K59" i="3"/>
  <c r="O59" i="3" s="1"/>
  <c r="K58" i="3"/>
  <c r="O58" i="3" s="1"/>
  <c r="K57" i="3"/>
  <c r="O57" i="3" s="1"/>
  <c r="K56" i="3"/>
  <c r="O56" i="3" s="1"/>
  <c r="K55" i="3"/>
  <c r="O55" i="3" s="1"/>
  <c r="K54" i="3"/>
  <c r="O54" i="3" s="1"/>
  <c r="K53" i="3"/>
  <c r="O53" i="3" s="1"/>
  <c r="K52" i="3"/>
  <c r="O52" i="3" s="1"/>
  <c r="K51" i="3"/>
  <c r="O51" i="3" s="1"/>
  <c r="K50" i="3"/>
  <c r="O50" i="3" s="1"/>
  <c r="K49" i="3"/>
  <c r="O49" i="3" s="1"/>
  <c r="K48" i="3"/>
  <c r="O48" i="3" s="1"/>
  <c r="K47" i="3"/>
  <c r="O47" i="3" s="1"/>
  <c r="K46" i="3"/>
  <c r="O46" i="3" s="1"/>
  <c r="K45" i="3"/>
  <c r="O45" i="3" s="1"/>
  <c r="K44" i="3"/>
  <c r="O44" i="3" s="1"/>
  <c r="K43" i="3"/>
  <c r="O43" i="3" s="1"/>
  <c r="K42" i="3"/>
  <c r="O42" i="3" s="1"/>
  <c r="K41" i="3"/>
  <c r="O41" i="3" s="1"/>
  <c r="K40" i="3"/>
  <c r="O40" i="3" s="1"/>
  <c r="K39" i="3"/>
  <c r="O39" i="3" s="1"/>
  <c r="K38" i="3"/>
  <c r="O38" i="3" s="1"/>
  <c r="K37" i="3"/>
  <c r="O37" i="3" s="1"/>
  <c r="K36" i="3"/>
  <c r="O36" i="3" s="1"/>
  <c r="K35" i="3"/>
  <c r="O35" i="3" s="1"/>
  <c r="K34" i="3"/>
  <c r="O34" i="3" s="1"/>
  <c r="K33" i="3"/>
  <c r="O33" i="3" s="1"/>
  <c r="K32" i="3"/>
  <c r="O32" i="3" s="1"/>
  <c r="K31" i="3"/>
  <c r="O31" i="3" s="1"/>
  <c r="K30" i="3"/>
  <c r="O30" i="3" s="1"/>
  <c r="K29" i="3"/>
  <c r="O29" i="3" s="1"/>
  <c r="K28" i="3"/>
  <c r="O28" i="3" s="1"/>
  <c r="K27" i="3"/>
  <c r="O27" i="3" s="1"/>
  <c r="K26" i="3"/>
  <c r="O26" i="3" s="1"/>
  <c r="K25" i="3"/>
  <c r="O25" i="3" s="1"/>
  <c r="K24" i="3"/>
  <c r="O24" i="3" s="1"/>
  <c r="K23" i="3"/>
  <c r="O23" i="3" s="1"/>
  <c r="K22" i="3"/>
  <c r="O22" i="3" s="1"/>
  <c r="K21" i="3"/>
  <c r="O21" i="3" s="1"/>
  <c r="K20" i="3"/>
  <c r="O20" i="3" s="1"/>
  <c r="K19" i="3"/>
  <c r="O19" i="3" s="1"/>
  <c r="K18" i="3"/>
  <c r="O18" i="3" s="1"/>
  <c r="K17" i="3"/>
  <c r="O17" i="3" s="1"/>
  <c r="K16" i="3"/>
  <c r="O16" i="3" s="1"/>
  <c r="K15" i="3"/>
  <c r="O15" i="3" s="1"/>
  <c r="K14" i="3"/>
  <c r="O14" i="3" s="1"/>
  <c r="K13" i="3"/>
  <c r="O13" i="3" s="1"/>
  <c r="K12" i="3"/>
  <c r="O12" i="3" s="1"/>
  <c r="K11" i="3"/>
  <c r="O11" i="3" s="1"/>
  <c r="K10" i="3"/>
  <c r="O10" i="3" s="1"/>
  <c r="K9" i="3"/>
  <c r="O9" i="3" s="1"/>
  <c r="K8" i="3"/>
  <c r="O8" i="3" s="1"/>
  <c r="K7" i="3"/>
  <c r="O7" i="3" s="1"/>
  <c r="K6" i="3"/>
  <c r="O6" i="3" s="1"/>
  <c r="K5" i="3"/>
  <c r="O5" i="3" s="1"/>
  <c r="K4" i="3"/>
  <c r="O4" i="3" s="1"/>
  <c r="K3" i="3"/>
  <c r="O3" i="3" s="1"/>
  <c r="K2" i="3"/>
  <c r="O2" i="3" s="1"/>
  <c r="P187" i="3" l="1"/>
  <c r="P186" i="3"/>
  <c r="P185" i="3"/>
  <c r="P184" i="3"/>
  <c r="P183" i="3"/>
  <c r="P182" i="3"/>
  <c r="P181" i="3"/>
  <c r="P180" i="3"/>
  <c r="P179" i="3"/>
  <c r="P178" i="3"/>
  <c r="P177" i="3"/>
  <c r="P171" i="3"/>
  <c r="P170" i="3"/>
  <c r="P169" i="3"/>
  <c r="P168" i="3"/>
  <c r="P165" i="3"/>
  <c r="P164" i="3"/>
  <c r="P163" i="3"/>
  <c r="P162" i="3"/>
  <c r="P161" i="3"/>
  <c r="P155" i="3"/>
  <c r="P154" i="3"/>
  <c r="P153" i="3"/>
  <c r="P152" i="3"/>
  <c r="P149" i="3"/>
  <c r="P148" i="3"/>
  <c r="P147" i="3"/>
  <c r="P146" i="3"/>
  <c r="P145" i="3"/>
  <c r="P139" i="3"/>
  <c r="P138" i="3"/>
  <c r="P137" i="3"/>
  <c r="P136" i="3"/>
  <c r="P134" i="3"/>
  <c r="P133" i="3"/>
  <c r="P132" i="3"/>
  <c r="P131" i="3"/>
  <c r="P130" i="3"/>
  <c r="P129" i="3"/>
  <c r="P128" i="3"/>
  <c r="P123" i="3"/>
  <c r="P122" i="3"/>
  <c r="P121" i="3"/>
  <c r="P120" i="3"/>
  <c r="P117" i="3"/>
  <c r="P116" i="3"/>
  <c r="P115" i="3"/>
  <c r="P114" i="3"/>
  <c r="P113" i="3"/>
  <c r="P107" i="3"/>
  <c r="P106" i="3"/>
  <c r="P105" i="3"/>
  <c r="P104" i="3"/>
  <c r="P103" i="3"/>
  <c r="P102" i="3"/>
  <c r="P101" i="3"/>
  <c r="P100" i="3"/>
  <c r="P99" i="3"/>
  <c r="P98" i="3"/>
  <c r="P97" i="3"/>
  <c r="P91" i="3"/>
  <c r="P90" i="3"/>
  <c r="P89" i="3"/>
  <c r="P88" i="3"/>
  <c r="P86" i="3"/>
  <c r="P85" i="3"/>
  <c r="P84" i="3"/>
  <c r="P83" i="3"/>
  <c r="P82" i="3"/>
  <c r="P81" i="3"/>
  <c r="P80" i="3"/>
  <c r="P75" i="3"/>
  <c r="P74" i="3"/>
  <c r="P73" i="3"/>
  <c r="P72" i="3"/>
  <c r="P69" i="3"/>
  <c r="P68" i="3"/>
  <c r="P67" i="3"/>
  <c r="P66" i="3"/>
  <c r="P65" i="3"/>
  <c r="P59" i="3"/>
  <c r="P58" i="3"/>
  <c r="P57" i="3"/>
  <c r="P56" i="3"/>
  <c r="P53" i="3"/>
  <c r="P52" i="3"/>
  <c r="P51" i="3"/>
  <c r="P50" i="3"/>
  <c r="P49" i="3"/>
  <c r="P43" i="3"/>
  <c r="P42" i="3"/>
  <c r="P41" i="3"/>
  <c r="P40" i="3"/>
  <c r="P37" i="3"/>
  <c r="P36" i="3"/>
  <c r="P35" i="3"/>
  <c r="P34" i="3"/>
  <c r="P33" i="3"/>
  <c r="P27" i="3"/>
  <c r="P26" i="3"/>
  <c r="P25" i="3"/>
  <c r="P24" i="3"/>
  <c r="P23" i="3"/>
  <c r="P22" i="3"/>
  <c r="P21" i="3"/>
  <c r="P20" i="3"/>
  <c r="P19" i="3"/>
  <c r="P18" i="3"/>
  <c r="P17" i="3"/>
  <c r="P11" i="3"/>
  <c r="P10" i="3"/>
  <c r="P9" i="3"/>
  <c r="P8" i="3"/>
  <c r="P5" i="3"/>
  <c r="P4" i="3"/>
  <c r="P3" i="3"/>
  <c r="P2" i="3"/>
  <c r="L187" i="3"/>
  <c r="L186" i="3"/>
  <c r="L185" i="3"/>
  <c r="L184" i="3"/>
  <c r="L183" i="3"/>
  <c r="L182" i="3"/>
  <c r="L181" i="3"/>
  <c r="L179" i="3"/>
  <c r="L178" i="3"/>
  <c r="L177" i="3"/>
  <c r="L171" i="3"/>
  <c r="L170" i="3"/>
  <c r="L169" i="3"/>
  <c r="L168" i="3"/>
  <c r="L165" i="3"/>
  <c r="L163" i="3"/>
  <c r="L162" i="3"/>
  <c r="L161" i="3"/>
  <c r="L155" i="3"/>
  <c r="L154" i="3"/>
  <c r="L153" i="3"/>
  <c r="L152" i="3"/>
  <c r="L149" i="3"/>
  <c r="L147" i="3"/>
  <c r="L146" i="3"/>
  <c r="L145" i="3"/>
  <c r="L139" i="3"/>
  <c r="L138" i="3"/>
  <c r="L137" i="3"/>
  <c r="L136" i="3"/>
  <c r="L134" i="3"/>
  <c r="L133" i="3"/>
  <c r="L131" i="3"/>
  <c r="L130" i="3"/>
  <c r="L129" i="3"/>
  <c r="L128" i="3"/>
  <c r="L123" i="3"/>
  <c r="L122" i="3"/>
  <c r="L121" i="3"/>
  <c r="L120" i="3"/>
  <c r="L117" i="3"/>
  <c r="L116" i="3"/>
  <c r="L115" i="3"/>
  <c r="L114" i="3"/>
  <c r="L113" i="3"/>
  <c r="L107" i="3"/>
  <c r="L106" i="3"/>
  <c r="L105" i="3"/>
  <c r="L104" i="3"/>
  <c r="L103" i="3"/>
  <c r="L102" i="3"/>
  <c r="L101" i="3"/>
  <c r="L99" i="3"/>
  <c r="L98" i="3"/>
  <c r="L97" i="3"/>
  <c r="L91" i="3"/>
  <c r="L90" i="3"/>
  <c r="L89" i="3"/>
  <c r="L88" i="3"/>
  <c r="L86" i="3"/>
  <c r="L85" i="3"/>
  <c r="L83" i="3"/>
  <c r="L82" i="3"/>
  <c r="L81" i="3"/>
  <c r="L80" i="3"/>
  <c r="L75" i="3"/>
  <c r="L74" i="3"/>
  <c r="L73" i="3"/>
  <c r="L72" i="3"/>
  <c r="L69" i="3"/>
  <c r="L67" i="3"/>
  <c r="L66" i="3"/>
  <c r="L65" i="3"/>
  <c r="L59" i="3"/>
  <c r="L58" i="3"/>
  <c r="L57" i="3"/>
  <c r="L56" i="3"/>
  <c r="L53" i="3"/>
  <c r="L51" i="3"/>
  <c r="L50" i="3"/>
  <c r="L49" i="3"/>
  <c r="L43" i="3"/>
  <c r="L42" i="3"/>
  <c r="L41" i="3"/>
  <c r="L40" i="3"/>
  <c r="L37" i="3"/>
  <c r="L35" i="3"/>
  <c r="L34" i="3"/>
  <c r="L33" i="3"/>
  <c r="L27" i="3"/>
  <c r="L26" i="3"/>
  <c r="L25" i="3"/>
  <c r="L24" i="3"/>
  <c r="L23" i="3"/>
  <c r="L22" i="3"/>
  <c r="L21" i="3"/>
  <c r="L19" i="3"/>
  <c r="L18" i="3"/>
  <c r="L17" i="3"/>
  <c r="L11" i="3"/>
  <c r="L10" i="3"/>
  <c r="L9" i="3"/>
  <c r="L8" i="3"/>
  <c r="L5" i="3"/>
  <c r="L3" i="3"/>
  <c r="L2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L52" i="3" l="1"/>
  <c r="L132" i="3"/>
  <c r="L4" i="3"/>
  <c r="L84" i="3"/>
  <c r="L164" i="3"/>
  <c r="L36" i="3"/>
  <c r="L68" i="3"/>
  <c r="L20" i="3"/>
  <c r="L148" i="3"/>
  <c r="L100" i="3"/>
  <c r="L180" i="3"/>
  <c r="L12" i="3"/>
  <c r="P12" i="3"/>
  <c r="L28" i="3"/>
  <c r="P28" i="3"/>
  <c r="L44" i="3"/>
  <c r="P44" i="3"/>
  <c r="L60" i="3"/>
  <c r="P60" i="3"/>
  <c r="L76" i="3"/>
  <c r="P76" i="3"/>
  <c r="L92" i="3"/>
  <c r="P92" i="3"/>
  <c r="L108" i="3"/>
  <c r="P108" i="3"/>
  <c r="L124" i="3"/>
  <c r="P124" i="3"/>
  <c r="L140" i="3"/>
  <c r="P140" i="3"/>
  <c r="L156" i="3"/>
  <c r="P156" i="3"/>
  <c r="L172" i="3"/>
  <c r="P172" i="3"/>
  <c r="L13" i="3"/>
  <c r="P13" i="3"/>
  <c r="L14" i="3"/>
  <c r="P14" i="3"/>
  <c r="L30" i="3"/>
  <c r="P30" i="3"/>
  <c r="L46" i="3"/>
  <c r="P46" i="3"/>
  <c r="L62" i="3"/>
  <c r="P62" i="3"/>
  <c r="L78" i="3"/>
  <c r="P78" i="3"/>
  <c r="L94" i="3"/>
  <c r="P94" i="3"/>
  <c r="L110" i="3"/>
  <c r="P110" i="3"/>
  <c r="L126" i="3"/>
  <c r="P126" i="3"/>
  <c r="L142" i="3"/>
  <c r="P142" i="3"/>
  <c r="L158" i="3"/>
  <c r="P158" i="3"/>
  <c r="L174" i="3"/>
  <c r="P174" i="3"/>
  <c r="L15" i="3"/>
  <c r="P15" i="3"/>
  <c r="L31" i="3"/>
  <c r="P31" i="3"/>
  <c r="L47" i="3"/>
  <c r="P47" i="3"/>
  <c r="L63" i="3"/>
  <c r="P63" i="3"/>
  <c r="L79" i="3"/>
  <c r="P79" i="3"/>
  <c r="L95" i="3"/>
  <c r="P95" i="3"/>
  <c r="L111" i="3"/>
  <c r="P111" i="3"/>
  <c r="L127" i="3"/>
  <c r="P127" i="3"/>
  <c r="L143" i="3"/>
  <c r="P143" i="3"/>
  <c r="L159" i="3"/>
  <c r="P159" i="3"/>
  <c r="L175" i="3"/>
  <c r="P175" i="3"/>
  <c r="L141" i="3"/>
  <c r="P141" i="3"/>
  <c r="L16" i="3"/>
  <c r="P16" i="3"/>
  <c r="L32" i="3"/>
  <c r="P32" i="3"/>
  <c r="L48" i="3"/>
  <c r="P48" i="3"/>
  <c r="L64" i="3"/>
  <c r="P64" i="3"/>
  <c r="L96" i="3"/>
  <c r="P96" i="3"/>
  <c r="L112" i="3"/>
  <c r="P112" i="3"/>
  <c r="L144" i="3"/>
  <c r="P144" i="3"/>
  <c r="L160" i="3"/>
  <c r="P160" i="3"/>
  <c r="L176" i="3"/>
  <c r="P176" i="3"/>
  <c r="L61" i="3"/>
  <c r="P61" i="3"/>
  <c r="L45" i="3"/>
  <c r="P45" i="3"/>
  <c r="L125" i="3"/>
  <c r="P125" i="3"/>
  <c r="L109" i="3"/>
  <c r="P109" i="3"/>
  <c r="L77" i="3"/>
  <c r="P77" i="3"/>
  <c r="L6" i="3"/>
  <c r="P6" i="3"/>
  <c r="L38" i="3"/>
  <c r="P38" i="3"/>
  <c r="L54" i="3"/>
  <c r="P54" i="3"/>
  <c r="L70" i="3"/>
  <c r="P70" i="3"/>
  <c r="L118" i="3"/>
  <c r="P118" i="3"/>
  <c r="L150" i="3"/>
  <c r="P150" i="3"/>
  <c r="L166" i="3"/>
  <c r="P166" i="3"/>
  <c r="L29" i="3"/>
  <c r="P29" i="3"/>
  <c r="L7" i="3"/>
  <c r="P7" i="3"/>
  <c r="L39" i="3"/>
  <c r="P39" i="3"/>
  <c r="L55" i="3"/>
  <c r="P55" i="3"/>
  <c r="L71" i="3"/>
  <c r="P71" i="3"/>
  <c r="L87" i="3"/>
  <c r="P87" i="3"/>
  <c r="L119" i="3"/>
  <c r="P119" i="3"/>
  <c r="L135" i="3"/>
  <c r="P135" i="3"/>
  <c r="L151" i="3"/>
  <c r="P151" i="3"/>
  <c r="L167" i="3"/>
  <c r="P167" i="3"/>
  <c r="L157" i="3"/>
  <c r="P157" i="3"/>
  <c r="L173" i="3"/>
  <c r="P173" i="3"/>
  <c r="L93" i="3"/>
  <c r="P9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1922C3-F71F-4BFF-8034-B673494E332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0C49AB-F1B2-4F16-98D0-6BE37D33E9A7}" name="WorksheetConnection_Book3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3Table1"/>
        </x15:connection>
      </ext>
    </extLst>
  </connection>
</connections>
</file>

<file path=xl/sharedStrings.xml><?xml version="1.0" encoding="utf-8"?>
<sst xmlns="http://schemas.openxmlformats.org/spreadsheetml/2006/main" count="4528" uniqueCount="705">
  <si>
    <t>CIRC</t>
  </si>
  <si>
    <t>Uttar Pradesh</t>
  </si>
  <si>
    <t>RC</t>
  </si>
  <si>
    <t>YES</t>
  </si>
  <si>
    <t>Owned</t>
  </si>
  <si>
    <t>Agra</t>
  </si>
  <si>
    <t>Branch</t>
  </si>
  <si>
    <t>Ajmer</t>
  </si>
  <si>
    <t>Rajasthan</t>
  </si>
  <si>
    <t>Aligarh</t>
  </si>
  <si>
    <t>Rented</t>
  </si>
  <si>
    <t>Allahabad</t>
  </si>
  <si>
    <t>Alwar</t>
  </si>
  <si>
    <t>Bareilly</t>
  </si>
  <si>
    <t>Beawar</t>
  </si>
  <si>
    <t>Bharatpur</t>
  </si>
  <si>
    <t>Bhilai</t>
  </si>
  <si>
    <t>Chattisgarh</t>
  </si>
  <si>
    <t>Bhilwara</t>
  </si>
  <si>
    <t>Bhopal</t>
  </si>
  <si>
    <t>Madhya Pradesh</t>
  </si>
  <si>
    <t>Bikaner</t>
  </si>
  <si>
    <t>Bilaspur</t>
  </si>
  <si>
    <t>Chittorgarh</t>
  </si>
  <si>
    <t>Dehradun</t>
  </si>
  <si>
    <t>Uttarakhand</t>
  </si>
  <si>
    <t>NO</t>
  </si>
  <si>
    <t>Dhanbad</t>
  </si>
  <si>
    <t>Jharkhand</t>
  </si>
  <si>
    <t>Ghaziabad</t>
  </si>
  <si>
    <t>Gorakhpur</t>
  </si>
  <si>
    <t>Gwalior</t>
  </si>
  <si>
    <t>Indore</t>
  </si>
  <si>
    <t>Jabalpur</t>
  </si>
  <si>
    <t>Jaipur</t>
  </si>
  <si>
    <t>Jamshedpur</t>
  </si>
  <si>
    <t>Jhansi</t>
  </si>
  <si>
    <t>Jodhpur</t>
  </si>
  <si>
    <t>Kishangarh</t>
  </si>
  <si>
    <t>Kota</t>
  </si>
  <si>
    <t>Lucknow</t>
  </si>
  <si>
    <t>Mathura</t>
  </si>
  <si>
    <t>Meerut</t>
  </si>
  <si>
    <t>Moradabad</t>
  </si>
  <si>
    <t>Muzaffarnagar</t>
  </si>
  <si>
    <t>Noida</t>
  </si>
  <si>
    <t>Pali</t>
  </si>
  <si>
    <t>Patna</t>
  </si>
  <si>
    <t>Bihar</t>
  </si>
  <si>
    <t>Raipur</t>
  </si>
  <si>
    <t>Ranchi</t>
  </si>
  <si>
    <t>Ratlam</t>
  </si>
  <si>
    <t>Saharanpur</t>
  </si>
  <si>
    <t>Sikar</t>
  </si>
  <si>
    <t>Sriganganagar</t>
  </si>
  <si>
    <t>Udaipur</t>
  </si>
  <si>
    <t>Ujjain</t>
  </si>
  <si>
    <t>Varanasi</t>
  </si>
  <si>
    <t>Haridwar</t>
  </si>
  <si>
    <t>Haldwani</t>
  </si>
  <si>
    <t>Bulandshahr</t>
  </si>
  <si>
    <t>Bhagalpur</t>
  </si>
  <si>
    <t>Hanumangarh</t>
  </si>
  <si>
    <t>Satna</t>
  </si>
  <si>
    <t>Mandsaur</t>
  </si>
  <si>
    <t>Rajsamand</t>
  </si>
  <si>
    <t>Darbhanga</t>
  </si>
  <si>
    <t>Neemuch</t>
  </si>
  <si>
    <t>Muzaffarpur</t>
  </si>
  <si>
    <t>Raigarh</t>
  </si>
  <si>
    <t>Tonk</t>
  </si>
  <si>
    <t>Nagaur</t>
  </si>
  <si>
    <t>Jhunjhunu</t>
  </si>
  <si>
    <t>Churu</t>
  </si>
  <si>
    <t>Bhiwadi</t>
  </si>
  <si>
    <t>Korba</t>
  </si>
  <si>
    <t>EIRC</t>
  </si>
  <si>
    <t>West Bengal</t>
  </si>
  <si>
    <t>Asansol</t>
  </si>
  <si>
    <t>Bhubaneshwar</t>
  </si>
  <si>
    <t>Odisha</t>
  </si>
  <si>
    <t>Cuttack</t>
  </si>
  <si>
    <t>Dibrugarh</t>
  </si>
  <si>
    <t>Assam</t>
  </si>
  <si>
    <t>Durgapur</t>
  </si>
  <si>
    <t>Guwahati</t>
  </si>
  <si>
    <t>Raniganj</t>
  </si>
  <si>
    <t>Rourkela</t>
  </si>
  <si>
    <t>Sambalpur</t>
  </si>
  <si>
    <t>Siliguri</t>
  </si>
  <si>
    <t>Tinsukia</t>
  </si>
  <si>
    <t>Jharsuguda</t>
  </si>
  <si>
    <t>Brahmapur</t>
  </si>
  <si>
    <t>NIRC</t>
  </si>
  <si>
    <t>New Delhi</t>
  </si>
  <si>
    <t>Amritsar</t>
  </si>
  <si>
    <t>Punjab</t>
  </si>
  <si>
    <t>Chandigarh</t>
  </si>
  <si>
    <t>Faridabad</t>
  </si>
  <si>
    <t>Haryana</t>
  </si>
  <si>
    <t>Hisar</t>
  </si>
  <si>
    <t>Jalandhar</t>
  </si>
  <si>
    <t>Jammu</t>
  </si>
  <si>
    <t>Ludhiana</t>
  </si>
  <si>
    <t>Rohtak</t>
  </si>
  <si>
    <t>Shimla</t>
  </si>
  <si>
    <t>Himachal Pradesh</t>
  </si>
  <si>
    <t>Karnal</t>
  </si>
  <si>
    <t>Yamunanagar</t>
  </si>
  <si>
    <t>Gurgaon</t>
  </si>
  <si>
    <t>Panipat</t>
  </si>
  <si>
    <t>Patiala</t>
  </si>
  <si>
    <t>Ambala</t>
  </si>
  <si>
    <t>Sangrur</t>
  </si>
  <si>
    <t>Sonepat</t>
  </si>
  <si>
    <t>Bathinda</t>
  </si>
  <si>
    <t>Sirsa</t>
  </si>
  <si>
    <t>Rewari</t>
  </si>
  <si>
    <t>Bahadurgarh</t>
  </si>
  <si>
    <t>Bhiwani</t>
  </si>
  <si>
    <t>Kaithal</t>
  </si>
  <si>
    <t>Kurukshetra</t>
  </si>
  <si>
    <t>Mandi Gobind Garh</t>
  </si>
  <si>
    <t>SIRC</t>
  </si>
  <si>
    <t>Tamil Nadu</t>
  </si>
  <si>
    <t>Alleppey</t>
  </si>
  <si>
    <t>Kerala</t>
  </si>
  <si>
    <t>Anantapur</t>
  </si>
  <si>
    <t>Andhra pradesh</t>
  </si>
  <si>
    <t>Bangalore</t>
  </si>
  <si>
    <t>Karnataka</t>
  </si>
  <si>
    <t>Belgaum</t>
  </si>
  <si>
    <t>Bellary</t>
  </si>
  <si>
    <t>Calicut</t>
  </si>
  <si>
    <t>Coimbatore</t>
  </si>
  <si>
    <t>Ernakulum</t>
  </si>
  <si>
    <t>Erode</t>
  </si>
  <si>
    <t>Guntur</t>
  </si>
  <si>
    <t>Hubli</t>
  </si>
  <si>
    <t>Hyderabad</t>
  </si>
  <si>
    <t>Telangana</t>
  </si>
  <si>
    <t>Kakinada</t>
  </si>
  <si>
    <t>Kannur</t>
  </si>
  <si>
    <t>Karimnagar</t>
  </si>
  <si>
    <t>Kottayam</t>
  </si>
  <si>
    <t>Kumbakonam</t>
  </si>
  <si>
    <t>Kurnool</t>
  </si>
  <si>
    <t>Madurai</t>
  </si>
  <si>
    <t>Mangalore</t>
  </si>
  <si>
    <t>Mysore</t>
  </si>
  <si>
    <t>Nellore</t>
  </si>
  <si>
    <t>Ongole</t>
  </si>
  <si>
    <t>Palghat</t>
  </si>
  <si>
    <t>Pondicherry</t>
  </si>
  <si>
    <t>Quilon</t>
  </si>
  <si>
    <t>Rajamahendravaram</t>
  </si>
  <si>
    <t>Salem</t>
  </si>
  <si>
    <t>Sivakasi</t>
  </si>
  <si>
    <t>Tirunelveli</t>
  </si>
  <si>
    <t>Tirupati</t>
  </si>
  <si>
    <t>Thrissur</t>
  </si>
  <si>
    <t>Tiruchirappalli</t>
  </si>
  <si>
    <t>Tirupur</t>
  </si>
  <si>
    <t>Trivandrum</t>
  </si>
  <si>
    <t>Tuticorin</t>
  </si>
  <si>
    <t>Udupi</t>
  </si>
  <si>
    <t>Vellore</t>
  </si>
  <si>
    <t>Vijayawada</t>
  </si>
  <si>
    <t>Visakhapatnam</t>
  </si>
  <si>
    <t>Warangal</t>
  </si>
  <si>
    <t>West Godavari</t>
  </si>
  <si>
    <t>Kalaburgi</t>
  </si>
  <si>
    <t>Kanchipuram</t>
  </si>
  <si>
    <t>Kadapa</t>
  </si>
  <si>
    <t>Vizianagaram</t>
  </si>
  <si>
    <t xml:space="preserve">Khammam </t>
  </si>
  <si>
    <t xml:space="preserve">Nizamabad </t>
  </si>
  <si>
    <t>WIRC</t>
  </si>
  <si>
    <t>Maharashtra</t>
  </si>
  <si>
    <t>Ahmedabad</t>
  </si>
  <si>
    <t>Gujarat</t>
  </si>
  <si>
    <t>Ahmednagar</t>
  </si>
  <si>
    <t>Akola</t>
  </si>
  <si>
    <t>Amravati</t>
  </si>
  <si>
    <t>Anand</t>
  </si>
  <si>
    <t>Aurangabad</t>
  </si>
  <si>
    <t>Baroda</t>
  </si>
  <si>
    <t>Bharuch</t>
  </si>
  <si>
    <t>Bhavnagar</t>
  </si>
  <si>
    <t>Dhule</t>
  </si>
  <si>
    <t>Gandhidham</t>
  </si>
  <si>
    <t>Goa</t>
  </si>
  <si>
    <t>Jalgaon</t>
  </si>
  <si>
    <t>Jamnagar</t>
  </si>
  <si>
    <t>Kolhapur</t>
  </si>
  <si>
    <t>Latur</t>
  </si>
  <si>
    <t>Nagpur</t>
  </si>
  <si>
    <t>Nanded</t>
  </si>
  <si>
    <t>Nashik</t>
  </si>
  <si>
    <t>Navi Mumbai</t>
  </si>
  <si>
    <t>Navsari</t>
  </si>
  <si>
    <t>Pimpri Chinchwad</t>
  </si>
  <si>
    <t>Pune</t>
  </si>
  <si>
    <t>Rajkot</t>
  </si>
  <si>
    <t>Ratnagiri</t>
  </si>
  <si>
    <t>Sangali</t>
  </si>
  <si>
    <t>Satara</t>
  </si>
  <si>
    <t>Solapur</t>
  </si>
  <si>
    <t>Surat</t>
  </si>
  <si>
    <t>Thane</t>
  </si>
  <si>
    <t>Vapi</t>
  </si>
  <si>
    <t>Vasai</t>
  </si>
  <si>
    <t>Bhuj</t>
  </si>
  <si>
    <t>Kalyan</t>
  </si>
  <si>
    <t>Inchakaranji</t>
  </si>
  <si>
    <t>Gandhinagar</t>
  </si>
  <si>
    <t>Gondia</t>
  </si>
  <si>
    <t>Morbi District</t>
  </si>
  <si>
    <t>MEMBER COUNT</t>
  </si>
  <si>
    <t>STUDENT COUNT</t>
  </si>
  <si>
    <t>OWNED/RENTED</t>
  </si>
  <si>
    <t>IS STUDENT ASSO</t>
  </si>
  <si>
    <t>TYPE</t>
  </si>
  <si>
    <t>STATE</t>
  </si>
  <si>
    <t>REGION</t>
  </si>
  <si>
    <t>UNIT NAME</t>
  </si>
  <si>
    <t>S.No.</t>
  </si>
  <si>
    <t>Region</t>
  </si>
  <si>
    <t>Regulation</t>
  </si>
  <si>
    <t>Notificatin No.</t>
  </si>
  <si>
    <t>Notification Date</t>
  </si>
  <si>
    <t>State</t>
  </si>
  <si>
    <t>Western Region</t>
  </si>
  <si>
    <t>AHMEDABAD</t>
  </si>
  <si>
    <t>Regulation 62-H(55)</t>
  </si>
  <si>
    <t>1-CA(24)61</t>
  </si>
  <si>
    <t>PUNE</t>
  </si>
  <si>
    <t>1-CA(24)/61</t>
  </si>
  <si>
    <t xml:space="preserve">BARODA / VADODARA </t>
  </si>
  <si>
    <t>136(1)</t>
  </si>
  <si>
    <t>1-CA(24)67</t>
  </si>
  <si>
    <t>SURAT</t>
  </si>
  <si>
    <t>1-CA(42)/71</t>
  </si>
  <si>
    <t>GOA</t>
  </si>
  <si>
    <t>1-CA(67)/74</t>
  </si>
  <si>
    <t>RAJKOT</t>
  </si>
  <si>
    <t>28(RC)/1/7/77</t>
  </si>
  <si>
    <t>NAGPUR</t>
  </si>
  <si>
    <t>28-(RC)/1/4/70</t>
  </si>
  <si>
    <t>KOLHAPUR</t>
  </si>
  <si>
    <t>28-RC(1)/8/81</t>
  </si>
  <si>
    <t>NASHIK</t>
  </si>
  <si>
    <t>28-RC((1)/9/81</t>
  </si>
  <si>
    <t>SOLAPUR</t>
  </si>
  <si>
    <t>28-RC(1)/10/85</t>
  </si>
  <si>
    <t>AURANGABAD / CHHATRAPATI SAMBHAJINAGAR</t>
  </si>
  <si>
    <t>28-RC(1)/11/86</t>
  </si>
  <si>
    <t>ANAND</t>
  </si>
  <si>
    <t>28-RC(1)/12/86</t>
  </si>
  <si>
    <t>JALGAON</t>
  </si>
  <si>
    <t>28-RC(1)/13/87</t>
  </si>
  <si>
    <t>SANGLI</t>
  </si>
  <si>
    <t>28-RC(1)/14/87</t>
  </si>
  <si>
    <t>JAMNAGAR</t>
  </si>
  <si>
    <t>159(1)</t>
  </si>
  <si>
    <t>1-CA(7)/62/2002</t>
  </si>
  <si>
    <t>AHMEDNAGAR / AHILYANAGAR</t>
  </si>
  <si>
    <t>1-CA(7)68/2002</t>
  </si>
  <si>
    <t>AKOLA</t>
  </si>
  <si>
    <t>1-CA(7)/70/2003</t>
  </si>
  <si>
    <t>THANE</t>
  </si>
  <si>
    <t>1-CA(7)85/2005</t>
  </si>
  <si>
    <t>VASAI</t>
  </si>
  <si>
    <t>1-CA(7)/84/2005</t>
  </si>
  <si>
    <t>NAVI MUMBAI</t>
  </si>
  <si>
    <t>1-CA(7)/89/2006</t>
  </si>
  <si>
    <t>BHARUCH</t>
  </si>
  <si>
    <t>1-CA(7)95/2006</t>
  </si>
  <si>
    <t>AMRAVATI</t>
  </si>
  <si>
    <t>1-CA(7)/(114)/2008</t>
  </si>
  <si>
    <t>PIMPRI CHINCHWAD</t>
  </si>
  <si>
    <t>1-CA(7)/115/2008</t>
  </si>
  <si>
    <t>VAPI</t>
  </si>
  <si>
    <t>1-CA(7)/(127)/2009</t>
  </si>
  <si>
    <t>GANDHIDHAM</t>
  </si>
  <si>
    <t>1-CA(7)128/2010</t>
  </si>
  <si>
    <t>BHAVNAGAR</t>
  </si>
  <si>
    <t>1-CA/(7)/130/2010</t>
  </si>
  <si>
    <t>LATUR</t>
  </si>
  <si>
    <t>1-CA(7)/(137)/2010</t>
  </si>
  <si>
    <t>SATARA</t>
  </si>
  <si>
    <t>159(1A)</t>
  </si>
  <si>
    <t>1-CA(7)/(150)/2013</t>
  </si>
  <si>
    <t>NAVSARI</t>
  </si>
  <si>
    <t>1-CA(7)/(151)/2013</t>
  </si>
  <si>
    <t>NANDED</t>
  </si>
  <si>
    <t>1-CA(7)/(155)/2013</t>
  </si>
  <si>
    <t>DHULE</t>
  </si>
  <si>
    <t>1-CA(7)/(156)/2013</t>
  </si>
  <si>
    <t>BHUJ</t>
  </si>
  <si>
    <t>1-CA(7)/(171)/2015</t>
  </si>
  <si>
    <t>KALYAN DOMBIVLI</t>
  </si>
  <si>
    <t>1-CA(7)/(176)/2016</t>
  </si>
  <si>
    <t>RATANAGIRI</t>
  </si>
  <si>
    <t>1-CA(7)/(181)/2016</t>
  </si>
  <si>
    <t>ICHALKARANJI</t>
  </si>
  <si>
    <t>1-CA(7)/(182)/2016</t>
  </si>
  <si>
    <t>GANDHINAGAR</t>
  </si>
  <si>
    <t>1-CA(7)/(207)/2023</t>
  </si>
  <si>
    <t>GONDIA</t>
  </si>
  <si>
    <t>1-CA(7)/(235)/2025</t>
  </si>
  <si>
    <t>MORBI</t>
  </si>
  <si>
    <t>1-CA(7)/(238)/2025</t>
  </si>
  <si>
    <t>Southern Region</t>
  </si>
  <si>
    <t>BANGALORE / BENGALURU</t>
  </si>
  <si>
    <t>COIMBATORE</t>
  </si>
  <si>
    <t>HYDERABAD</t>
  </si>
  <si>
    <t>Talangana</t>
  </si>
  <si>
    <t>MADURAI</t>
  </si>
  <si>
    <t>ERNAKULAM</t>
  </si>
  <si>
    <t>1-CA(24)/67</t>
  </si>
  <si>
    <t>MANGALORE / MANGALURU</t>
  </si>
  <si>
    <t>SALEM</t>
  </si>
  <si>
    <t>TIRUCHIRAPALLI</t>
  </si>
  <si>
    <t>VIJAYAWADA</t>
  </si>
  <si>
    <t>Andhra Pradesh</t>
  </si>
  <si>
    <t>TRIVANDRUM / THIRUVANANTHAPURAM</t>
  </si>
  <si>
    <t>1-CA(50)/72</t>
  </si>
  <si>
    <t>BELGAUM / BELAGAVI</t>
  </si>
  <si>
    <t>1-CA(69)/74</t>
  </si>
  <si>
    <t>VISAKHAPATNAM</t>
  </si>
  <si>
    <t>1-CA(101)/77</t>
  </si>
  <si>
    <t>KUMBAKONAM</t>
  </si>
  <si>
    <t>28-RC(2)/8/80</t>
  </si>
  <si>
    <t>TIRUNELVELI</t>
  </si>
  <si>
    <t>28-RC(2)/13/80</t>
  </si>
  <si>
    <t>KOTTAYAM</t>
  </si>
  <si>
    <t>28-RC(2)/14/81</t>
  </si>
  <si>
    <t>TRICHUR / THRISSUR</t>
  </si>
  <si>
    <t>28-RC(2)/15/81</t>
  </si>
  <si>
    <t>ALLEPPEY / ALAPPUZHA</t>
  </si>
  <si>
    <t>GUNTUR</t>
  </si>
  <si>
    <t>28-RC(2)/17/82</t>
  </si>
  <si>
    <t xml:space="preserve">CALICUT/ KOZHIKODE </t>
  </si>
  <si>
    <t>28-RC(2)/18/82</t>
  </si>
  <si>
    <t>MYSORE / MYSURU</t>
  </si>
  <si>
    <t>28-RC(2)/19/82</t>
  </si>
  <si>
    <t>ERODE</t>
  </si>
  <si>
    <t>28-RC(2)/22/85</t>
  </si>
  <si>
    <t>HUBLI / HUBBALLI</t>
  </si>
  <si>
    <t>28-RC(2)21/85</t>
  </si>
  <si>
    <t>PONDICHERRY / PUDUCHERRY</t>
  </si>
  <si>
    <t>28-RC(2)/23/86</t>
  </si>
  <si>
    <t>QUILON / KOLLAM</t>
  </si>
  <si>
    <t>28-RC(2)/25/87</t>
  </si>
  <si>
    <t>VELLORE</t>
  </si>
  <si>
    <t>28-RC(2)/24/87</t>
  </si>
  <si>
    <t>PALGHAT / PALAKKAD</t>
  </si>
  <si>
    <t>28-RC(2)/26/88</t>
  </si>
  <si>
    <t>TIRUPUR</t>
  </si>
  <si>
    <t>28-RC(2)/27/89</t>
  </si>
  <si>
    <t>TUTICORIN / THOOTHUKUDI</t>
  </si>
  <si>
    <t>28-RC(2)/25/90</t>
  </si>
  <si>
    <t>UDUPI</t>
  </si>
  <si>
    <t>1-CA(7)/58/2001</t>
  </si>
  <si>
    <t>RAJAMAHENDRAVARAM</t>
  </si>
  <si>
    <t>1-CA(7)/90/2006</t>
  </si>
  <si>
    <t>BELLARY / BALLARI</t>
  </si>
  <si>
    <t>1-CA(7)/94/2006</t>
  </si>
  <si>
    <t>KAKINADA</t>
  </si>
  <si>
    <t>1-CA(7)/97/2006</t>
  </si>
  <si>
    <t>NELLORE</t>
  </si>
  <si>
    <t>1-CA(7)/100/2006</t>
  </si>
  <si>
    <t>TIRUPATHI</t>
  </si>
  <si>
    <t>1-CA(7)/(129)/2010</t>
  </si>
  <si>
    <t>SIVAKASI</t>
  </si>
  <si>
    <t>1-CA(7)/143/2012</t>
  </si>
  <si>
    <t>KANNUR</t>
  </si>
  <si>
    <t>1-CA(7)/144/2012</t>
  </si>
  <si>
    <t>KARIMNAGAR</t>
  </si>
  <si>
    <t>1-CA(7)/(159)2014</t>
  </si>
  <si>
    <t>WARANGAL</t>
  </si>
  <si>
    <t>1-CA(7)/(160)2014</t>
  </si>
  <si>
    <t>ONGOLE</t>
  </si>
  <si>
    <t>1-CA(7)/(161)2014</t>
  </si>
  <si>
    <t>KURNOOL</t>
  </si>
  <si>
    <t>1-CA(7)/(163)2014</t>
  </si>
  <si>
    <t>ANANTAPUR</t>
  </si>
  <si>
    <t>1-CA(7)/(165)2014</t>
  </si>
  <si>
    <t>KALABURAGI</t>
  </si>
  <si>
    <t>1-CA(7)/(170)2015</t>
  </si>
  <si>
    <t>KANCHIPURAM / CHENGALPATTU</t>
  </si>
  <si>
    <t>1-CA(7)/(177)/2016</t>
  </si>
  <si>
    <t>WEST GODAVARI</t>
  </si>
  <si>
    <t>1-CA(7)/(173)2015</t>
  </si>
  <si>
    <t>KADAPA</t>
  </si>
  <si>
    <t>1-CA(7)/(188)/2017</t>
  </si>
  <si>
    <t>VIZIANAGARAM</t>
  </si>
  <si>
    <t>1-CA(7)/224/2024</t>
  </si>
  <si>
    <t>KHAMMAM</t>
  </si>
  <si>
    <t>1-CA(7)/228/2025</t>
  </si>
  <si>
    <t>NIZAMABAD</t>
  </si>
  <si>
    <t>1-CA(7)/229/2025</t>
  </si>
  <si>
    <t>Eastern Region</t>
  </si>
  <si>
    <t>ASANSOL</t>
  </si>
  <si>
    <t>1-CA(73)/74</t>
  </si>
  <si>
    <t>GUWAHATI</t>
  </si>
  <si>
    <t>28-RC(3)/3/77</t>
  </si>
  <si>
    <t>BHUBANESWAR</t>
  </si>
  <si>
    <t>28-RC(3)/3/79</t>
  </si>
  <si>
    <t>CUTTACK</t>
  </si>
  <si>
    <t>28-RC(3)/4/90</t>
  </si>
  <si>
    <t>DURGAPUR</t>
  </si>
  <si>
    <t>28-RC(3)/5/90</t>
  </si>
  <si>
    <t>SILIGURI</t>
  </si>
  <si>
    <t>28-RC(3)/24/90</t>
  </si>
  <si>
    <t>ROURKELA</t>
  </si>
  <si>
    <t>1-CA(7)/38/98</t>
  </si>
  <si>
    <t>SAMBALPUR</t>
  </si>
  <si>
    <t>1-CA(7)/91/2006</t>
  </si>
  <si>
    <t>DIBRUGARH</t>
  </si>
  <si>
    <t>1-CA(7)/(157)2014</t>
  </si>
  <si>
    <t>TINSUKIA</t>
  </si>
  <si>
    <t>1-CA(7)/(158)2014</t>
  </si>
  <si>
    <t>RANIGANJ</t>
  </si>
  <si>
    <t>1-CA(7)/(164)2014</t>
  </si>
  <si>
    <t>JHARSUGUDA</t>
  </si>
  <si>
    <t>1-CA(7)/(179)/2016</t>
  </si>
  <si>
    <t>BRAHMAPUR</t>
  </si>
  <si>
    <t>1-CA(7)/(180)/2016</t>
  </si>
  <si>
    <t>Central Region</t>
  </si>
  <si>
    <t>JAIPUR</t>
  </si>
  <si>
    <t>1-CA(38)/70</t>
  </si>
  <si>
    <t>INDORE</t>
  </si>
  <si>
    <t>1-CA(47)/71</t>
  </si>
  <si>
    <t>JAMSHEDPUR</t>
  </si>
  <si>
    <t>1-CA(47)71</t>
  </si>
  <si>
    <t>GHAZIABAD</t>
  </si>
  <si>
    <t>1-CA(83)75</t>
  </si>
  <si>
    <t>JODHPUR</t>
  </si>
  <si>
    <t>1-CA(97)76</t>
  </si>
  <si>
    <t>AGRA</t>
  </si>
  <si>
    <t>28-RC(3)/4/80</t>
  </si>
  <si>
    <t>LUCKNOW</t>
  </si>
  <si>
    <t>28-RC(4)/4/80</t>
  </si>
  <si>
    <t>BHOPAL</t>
  </si>
  <si>
    <t>28-RC(4)/7/80</t>
  </si>
  <si>
    <t>RAIPUR</t>
  </si>
  <si>
    <t>28-RC(4)/6/80</t>
  </si>
  <si>
    <t>Chhattisgarh</t>
  </si>
  <si>
    <t>PATNA</t>
  </si>
  <si>
    <t>28-RC(4)/8/82</t>
  </si>
  <si>
    <t>UDAIPUR</t>
  </si>
  <si>
    <t>28-RC(4)/11/84</t>
  </si>
  <si>
    <t>ALLAHABAD / PRAYAGRAJ</t>
  </si>
  <si>
    <t>28-RC(4)/12/85</t>
  </si>
  <si>
    <t>KOTA</t>
  </si>
  <si>
    <t>28-RC(4)/13/85</t>
  </si>
  <si>
    <t>MEERUT</t>
  </si>
  <si>
    <t>28-RC(4)/14/86</t>
  </si>
  <si>
    <t>RANCHI</t>
  </si>
  <si>
    <t>28-RC(4)/15/87</t>
  </si>
  <si>
    <t>GWALIOR</t>
  </si>
  <si>
    <t>28-RC(4)/16/87</t>
  </si>
  <si>
    <t>BHILWARA</t>
  </si>
  <si>
    <t>28-RC(4)/17/88</t>
  </si>
  <si>
    <t>DEHRADUN</t>
  </si>
  <si>
    <t>28-RC(4)/18/88</t>
  </si>
  <si>
    <t>BAREILLY</t>
  </si>
  <si>
    <t>28-RC(4)/19/88</t>
  </si>
  <si>
    <t>VARANASI</t>
  </si>
  <si>
    <t>28-RC(4)/20/89</t>
  </si>
  <si>
    <t>ALWAR</t>
  </si>
  <si>
    <t>28-RC(4)/21/89</t>
  </si>
  <si>
    <t>DHANBAD</t>
  </si>
  <si>
    <t>28-RC(4)/22/90</t>
  </si>
  <si>
    <t>AJMER</t>
  </si>
  <si>
    <t>28-RC(4)/23/90</t>
  </si>
  <si>
    <t>NOIDA / GAUTAM BUDH NAGAR</t>
  </si>
  <si>
    <t>28-RC(4)/1/91</t>
  </si>
  <si>
    <t>MATHURA</t>
  </si>
  <si>
    <t>1-CA(7)/35/98</t>
  </si>
  <si>
    <t>MORADABAD</t>
  </si>
  <si>
    <t>1-CA(7)/37/98</t>
  </si>
  <si>
    <t>MUZAFFARNAGAR</t>
  </si>
  <si>
    <t>1-CA(7)/47/2000</t>
  </si>
  <si>
    <t>SAHARANPUR</t>
  </si>
  <si>
    <t>1-CA(7)/48/2000</t>
  </si>
  <si>
    <t>BHILAI</t>
  </si>
  <si>
    <t>1-CA(7)/55/2001</t>
  </si>
  <si>
    <t>JABALPUR</t>
  </si>
  <si>
    <t>1-CA(7)/76/2004</t>
  </si>
  <si>
    <t>UJJAIN</t>
  </si>
  <si>
    <t>1-CA(7)/78/2004</t>
  </si>
  <si>
    <t>BIKANER</t>
  </si>
  <si>
    <t>1-CA(7)/86/2005</t>
  </si>
  <si>
    <t>GORAKHPUR</t>
  </si>
  <si>
    <t>1-CA(7)/(96)/2006</t>
  </si>
  <si>
    <t>BILASPUR</t>
  </si>
  <si>
    <t>1-CA(7)/(99)/2006</t>
  </si>
  <si>
    <t>ALIGARH</t>
  </si>
  <si>
    <t>1-CA(7)/(105)/2008</t>
  </si>
  <si>
    <t>BEAWAR</t>
  </si>
  <si>
    <t>1-CA(7)/124/2008</t>
  </si>
  <si>
    <t>PALI</t>
  </si>
  <si>
    <t>1-CA(7)/(131)/2010</t>
  </si>
  <si>
    <t>RATLAM</t>
  </si>
  <si>
    <t>1-CA(7)(133)/2010</t>
  </si>
  <si>
    <t>SRIGANGANAGAR</t>
  </si>
  <si>
    <t>1-CA(7)132/2010</t>
  </si>
  <si>
    <t>KISHANGARH</t>
  </si>
  <si>
    <t>1-CA(7)/(147)/2013</t>
  </si>
  <si>
    <t>JHANSI</t>
  </si>
  <si>
    <t>1-CA(7)/(148)/2013</t>
  </si>
  <si>
    <t>CHITTORGARH</t>
  </si>
  <si>
    <t>1-CA(7)/(149)/2013</t>
  </si>
  <si>
    <t>SIKAR</t>
  </si>
  <si>
    <t>1-CA(7)/(152)/2013</t>
  </si>
  <si>
    <t>BHARATPUR</t>
  </si>
  <si>
    <t>1-CA(7)/(162)/2013</t>
  </si>
  <si>
    <t>HARIDWAR</t>
  </si>
  <si>
    <t>1-CA(7)/(168)/2015</t>
  </si>
  <si>
    <t>HALDWANI</t>
  </si>
  <si>
    <t>1-CA(7)/(169)/2015</t>
  </si>
  <si>
    <t>BULANDSHAHR</t>
  </si>
  <si>
    <t>1-CA(7)/189/2018</t>
  </si>
  <si>
    <t>BHAGALPUR</t>
  </si>
  <si>
    <t>1-CA(7)/202/2022</t>
  </si>
  <si>
    <t>HANUMANGARH</t>
  </si>
  <si>
    <t>1-CA(7)/203/2022</t>
  </si>
  <si>
    <t>SATNA</t>
  </si>
  <si>
    <t>1-CA(7)/204/2023</t>
  </si>
  <si>
    <t>RAJSAMAND</t>
  </si>
  <si>
    <t>1-CA(7)/209/2023</t>
  </si>
  <si>
    <t>MANDSAUR</t>
  </si>
  <si>
    <t>1-CA(7)/210/2023</t>
  </si>
  <si>
    <t>DARBHANGA</t>
  </si>
  <si>
    <t>1-CA(7)/216/2024</t>
  </si>
  <si>
    <t>MUZAFFARPUR</t>
  </si>
  <si>
    <t>1-CA(7)/214/2024</t>
  </si>
  <si>
    <t>NEEMUCH</t>
  </si>
  <si>
    <t>1-CA(7)/215/2024</t>
  </si>
  <si>
    <t>RAIGARH</t>
  </si>
  <si>
    <t>1-CA(7)/217/2024</t>
  </si>
  <si>
    <t>TONK</t>
  </si>
  <si>
    <t>1-CA(7)/219/2024</t>
  </si>
  <si>
    <t>CHURU</t>
  </si>
  <si>
    <t>1-CA(7)/232/2025</t>
  </si>
  <si>
    <t>JHUNJHUNU</t>
  </si>
  <si>
    <t>1-CA(7)/233/2025</t>
  </si>
  <si>
    <t>NAGAUR</t>
  </si>
  <si>
    <t>1-CA(7)/231/2025</t>
  </si>
  <si>
    <t>BHIWADI</t>
  </si>
  <si>
    <t>1-CA(7)/236/2025</t>
  </si>
  <si>
    <t>KORBA</t>
  </si>
  <si>
    <t>1-CA(7)/241/2025</t>
  </si>
  <si>
    <t>Norhtern Region</t>
  </si>
  <si>
    <t>CHANDIGARH</t>
  </si>
  <si>
    <t>1-CA(61)/73</t>
  </si>
  <si>
    <t>LUDHIANA</t>
  </si>
  <si>
    <t>1-CA(72)/74</t>
  </si>
  <si>
    <t>AMRITSAR</t>
  </si>
  <si>
    <t>28-RC(1)/5/3/78</t>
  </si>
  <si>
    <t>FARIDABAD</t>
  </si>
  <si>
    <t>28-RC(1)/5/4/80</t>
  </si>
  <si>
    <t>JALANDHAR</t>
  </si>
  <si>
    <t>28-RC(5)/5/82</t>
  </si>
  <si>
    <t>YAMUNANAGAR</t>
  </si>
  <si>
    <t>28-RC(5)/6/87</t>
  </si>
  <si>
    <t>JAMMU &amp; KASHMIR</t>
  </si>
  <si>
    <t>136(2)</t>
  </si>
  <si>
    <t>28-RC(5)/7/87</t>
  </si>
  <si>
    <t>HIMACHAL PRADESH (SHIMLA)</t>
  </si>
  <si>
    <t>159(2)</t>
  </si>
  <si>
    <t>28-RC(9)/5/88</t>
  </si>
  <si>
    <t>HISAR</t>
  </si>
  <si>
    <t>28-RC(8)/5/88</t>
  </si>
  <si>
    <t>ROHTAK</t>
  </si>
  <si>
    <t>1-CA(7)/36/98</t>
  </si>
  <si>
    <t>GURGAON / GURUGRAM</t>
  </si>
  <si>
    <t>1-CA(7)/40/99</t>
  </si>
  <si>
    <t>PANIPAT</t>
  </si>
  <si>
    <t>1-CA(7)/41/99</t>
  </si>
  <si>
    <t>PATIALA</t>
  </si>
  <si>
    <t>1-CA(7)/42/99</t>
  </si>
  <si>
    <t>AMBALA</t>
  </si>
  <si>
    <t>1-CA(7)49/2000</t>
  </si>
  <si>
    <t>BHATINDA</t>
  </si>
  <si>
    <t>1-CA(7)/50/2000</t>
  </si>
  <si>
    <t>SONEPAT</t>
  </si>
  <si>
    <t>1-CA(7)/57/2001</t>
  </si>
  <si>
    <t>KARNAL</t>
  </si>
  <si>
    <t>1-CA(7)/72/2004</t>
  </si>
  <si>
    <t>SANGRUR</t>
  </si>
  <si>
    <t>1-CA(7)/98/2006</t>
  </si>
  <si>
    <t>REWARI</t>
  </si>
  <si>
    <t>1-CA(7)/(154)/2013</t>
  </si>
  <si>
    <t>SIRSA</t>
  </si>
  <si>
    <t>1-CA(7)/(153)/2013</t>
  </si>
  <si>
    <t>BAHADURGARH</t>
  </si>
  <si>
    <t>1-CA(7)/(186)/2016</t>
  </si>
  <si>
    <t>BHIWANI</t>
  </si>
  <si>
    <t>1.CA(7)/(184)/2016</t>
  </si>
  <si>
    <t>KAITHAL</t>
  </si>
  <si>
    <t>1.CA(7)/(185)/2016</t>
  </si>
  <si>
    <t>KURUKSHETRA</t>
  </si>
  <si>
    <t>1.CA(7)/(183)/2016</t>
  </si>
  <si>
    <t>MANDI GOBINDGARH</t>
  </si>
  <si>
    <t>1-CA(7)/213/2023</t>
  </si>
  <si>
    <t>\b(CIRC|Agra|Ajmer|Aligarh|Allahabad|Alwar|Bareilly|Beawar|Bharatpur|Bhilai|Bhilwara|Bhopal|Bikaner|Bilaspur|Chittorgarh|Dehradun|Dhanbad|Ghaziabad|Gorakhpur|Gwalior|Indore|Jabalpur|Jaipur|Jamshedpur|Jhansi|Jodhpur|Kishangarh|Kota|Lucknow|Mathura|Meerut|Moradabad|Muzaffarnagar|Noida|Pali|Patna|Raipur|Ranchi|Ratlam|Saharanpur|Sikar|Sriganganagar|Udaipur|Ujjain|Varanasi|Haridwar|Haldwani|Bulandshahr|Bhagalpur|Hanumangarh|Satna|Mandsaur|Rajsamand|Darbhanga|Neemuch|Muzaffarpur|Raigarh|Tonk|Nagaur|Jhunjhunu|Churu|Bhiwadi|Korba|EIRC|Asansol|Bhubaneshwar|Cuttack|Dibrugarh|Durgapur|Guwahati|Raniganj|Rourkela|Sambalpur|Siliguri|Tinsukia|Jharsuguda|Brahmapur|NIRC|Amritsar|Chandigarh|Faridabad|Hisar|Jalandhar|Jammu|Ludhiana|Rohtak|Shimla|Karnal|Yamunanagar|Gurgaon|Panipat|Patiala|Ambala|Sangrur|Sonepat|Bathinda|Sirsa|Rewari|Bahadurgarh|Bhiwani|Kaithal|Kurukshetra|Mandi Gobind Garh|SIRC|Alleppey|Anantapur|Bangalore|Belgaum|Bellary|Calicut|Coimbatore|Ernakulum|Erode|Guntur|Hubli|Hyderabad|Kakinada|Kannur|Karimnagar|Kottayam|Kumbakonam|Kurnool|Madurai|Mangalore|Mysore|Nellore|Ongole|Palghat|Pondicherry|Quilon|Rajamahendravaram|Salem|Sivakasi|Tirunelveli|Tirupati|Thrissur|Tiruchirappalli|Tirupur|Trivandrum|Tuticorin|Udupi|Vellore|Vijayawada|Visakhapatnam|Warangal|West Godavari|Kalaburgi|Kanchipuram|Kadapa|Vizianagaram|Khammam |Nizamabad |WIRC|Ahmedabad|Ahmednagar|Akola|Amravati|Anand|Aurangabad|Baroda|Bharuch|Bhavnagar|Dhule|Gandhidham|Goa|Jalgaon|Jamnagar|Kolhapur|Latur|Nagpur|Nanded|Nashik|Navi Mumbai|Navsari|Pimpri Chinchwad|Pune|Rajkot|Ratnagiri|Sangali|Satara|Solapur|Surat|Thane|Vapi|Vasai|Bhuj|Kalyan|Inchakaranji|Gandhinagar|Gondia|Morbi District)\b</t>
  </si>
  <si>
    <t>BARODA</t>
  </si>
  <si>
    <t>AURANGABAD</t>
  </si>
  <si>
    <t>AHMEDNAGAR</t>
  </si>
  <si>
    <t>KALYAN</t>
  </si>
  <si>
    <t>BANGALORE</t>
  </si>
  <si>
    <t>MANGALORE</t>
  </si>
  <si>
    <t>TRIVANDRUM</t>
  </si>
  <si>
    <t>BELGAUM</t>
  </si>
  <si>
    <t>THRISSUR</t>
  </si>
  <si>
    <t>ALLEPPEY</t>
  </si>
  <si>
    <t>CALICUT</t>
  </si>
  <si>
    <t>MYSORE</t>
  </si>
  <si>
    <t>HUBLI</t>
  </si>
  <si>
    <t>PONDICHERRY</t>
  </si>
  <si>
    <t>QUILON</t>
  </si>
  <si>
    <t>PALGHAT</t>
  </si>
  <si>
    <t>TUTICORIN</t>
  </si>
  <si>
    <t>BELLARY</t>
  </si>
  <si>
    <t>KANCHIPURAM</t>
  </si>
  <si>
    <t>ALLAHABAD</t>
  </si>
  <si>
    <t>NOIDA</t>
  </si>
  <si>
    <t>JAMMU</t>
  </si>
  <si>
    <t>SHIMLA</t>
  </si>
  <si>
    <t>GURGAON</t>
  </si>
  <si>
    <t>SET UP DATE</t>
  </si>
  <si>
    <t>Grand Total</t>
  </si>
  <si>
    <t>COUNT OF STUDENTS</t>
  </si>
  <si>
    <t>OLDEST BRANCH</t>
  </si>
  <si>
    <t>OLDEST DATE</t>
  </si>
  <si>
    <t>NEWEST BRANCH</t>
  </si>
  <si>
    <t>NEWEST DATE</t>
  </si>
  <si>
    <t>COUNT OF MEMBER</t>
  </si>
  <si>
    <t>Bangalore, Coimbatore, Hyderabad, Madurai</t>
  </si>
  <si>
    <t>Ahmedabad, Pune</t>
  </si>
  <si>
    <t>Khammam, Nizamabad</t>
  </si>
  <si>
    <t>NO OF BRANCHES</t>
  </si>
  <si>
    <t>Category as Branch(BRC)</t>
  </si>
  <si>
    <t>Criteria BRC</t>
  </si>
  <si>
    <t>Micro</t>
  </si>
  <si>
    <t>1 to 500</t>
  </si>
  <si>
    <t>Small</t>
  </si>
  <si>
    <t>501 to 1000</t>
  </si>
  <si>
    <t>Medium</t>
  </si>
  <si>
    <t>1001 to 2500</t>
  </si>
  <si>
    <t>Large</t>
  </si>
  <si>
    <t>2501 to 5000</t>
  </si>
  <si>
    <t>Mega</t>
  </si>
  <si>
    <t>5000&gt;</t>
  </si>
  <si>
    <t>Category</t>
  </si>
  <si>
    <t>Count of UNIT NAME</t>
  </si>
  <si>
    <t>Large Total</t>
  </si>
  <si>
    <t>Medium Total</t>
  </si>
  <si>
    <t>Mega Total</t>
  </si>
  <si>
    <t>Micro Total</t>
  </si>
  <si>
    <t>Small Total</t>
  </si>
  <si>
    <t>New Branch</t>
  </si>
  <si>
    <t>Total Year</t>
  </si>
  <si>
    <t>New Branches</t>
  </si>
  <si>
    <t>Greater Than 0</t>
  </si>
  <si>
    <t>Greater Than 0 Total</t>
  </si>
  <si>
    <t>Greater Than 25</t>
  </si>
  <si>
    <t>Greater Than 25 Total</t>
  </si>
  <si>
    <t>Greater Than 50</t>
  </si>
  <si>
    <t>Greater Than 50 Total</t>
  </si>
  <si>
    <t>Region Wise S. No.</t>
  </si>
  <si>
    <t>Name Of The Branch</t>
  </si>
  <si>
    <t xml:space="preserve">Date From Which Set Up </t>
  </si>
  <si>
    <t>Ac Branch</t>
  </si>
  <si>
    <t>Group by 25</t>
  </si>
  <si>
    <t>Count</t>
  </si>
  <si>
    <t>A</t>
  </si>
  <si>
    <t>AA</t>
  </si>
  <si>
    <t>FALSE</t>
  </si>
  <si>
    <t>TRUE</t>
  </si>
  <si>
    <t>FALSE Total</t>
  </si>
  <si>
    <t>TRUE Total</t>
  </si>
  <si>
    <t>Boolean</t>
  </si>
  <si>
    <t>Category BRC</t>
  </si>
  <si>
    <t>1 to 1000</t>
  </si>
  <si>
    <t>10001 to 3000</t>
  </si>
  <si>
    <t>3001 to 5000</t>
  </si>
  <si>
    <t>5001 to 10000</t>
  </si>
  <si>
    <t>CRITERIA BSA</t>
  </si>
  <si>
    <t>&gt;10000</t>
  </si>
  <si>
    <t>CATEGORY OF BSA</t>
  </si>
  <si>
    <t>CATEGORY OF STUDENT ASSO</t>
  </si>
  <si>
    <t>Category Range BRC</t>
  </si>
  <si>
    <t>CATEGORY RANGE BSA</t>
  </si>
  <si>
    <t>Category Range</t>
  </si>
  <si>
    <t>1 to 500 Total</t>
  </si>
  <si>
    <t>1001 to 2500 Total</t>
  </si>
  <si>
    <t>2501 to 5000 Total</t>
  </si>
  <si>
    <t>5000&gt; Total</t>
  </si>
  <si>
    <t>501 to 1000 Total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</si>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</sst>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sz val="10"/>
      <name val="Arial"/>
      <family val="2"/>
    </font>
    <font>
      <sz val="14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51">
    <xf numFmtId="0" fontId="0" fillId="0" borderId="0" xfId="0"/>
    <xf numFmtId="0" fontId="1" fillId="0" borderId="2" xfId="0" applyFont="1" applyBorder="1"/>
    <xf numFmtId="0" fontId="0" fillId="4" borderId="0" xfId="0" applyFill="1"/>
    <xf numFmtId="14" fontId="1" fillId="0" borderId="2" xfId="0" applyNumberFormat="1" applyFont="1" applyBorder="1"/>
    <xf numFmtId="0" fontId="2" fillId="5" borderId="5" xfId="0" applyFont="1" applyFill="1" applyBorder="1"/>
    <xf numFmtId="0" fontId="2" fillId="0" borderId="5" xfId="0" applyFont="1" applyBorder="1"/>
    <xf numFmtId="0" fontId="8" fillId="0" borderId="0" xfId="0" applyFont="1" applyAlignment="1">
      <alignment horizontal="center" vertical="top" wrapText="1"/>
    </xf>
    <xf numFmtId="0" fontId="11" fillId="0" borderId="0" xfId="0" applyFont="1" applyAlignment="1">
      <alignment vertical="top"/>
    </xf>
    <xf numFmtId="0" fontId="8" fillId="0" borderId="4" xfId="0" applyFont="1" applyBorder="1" applyAlignment="1">
      <alignment horizontal="center" vertical="top" wrapText="1"/>
    </xf>
    <xf numFmtId="0" fontId="8" fillId="0" borderId="4" xfId="0" pivotButton="1" applyFont="1" applyBorder="1" applyAlignment="1">
      <alignment horizontal="center" vertical="top" wrapText="1"/>
    </xf>
    <xf numFmtId="0" fontId="12" fillId="0" borderId="0" xfId="0" pivotButton="1" applyFont="1" applyAlignment="1">
      <alignment horizontal="center" vertical="top" wrapText="1"/>
    </xf>
    <xf numFmtId="0" fontId="2" fillId="4" borderId="1" xfId="0" applyFont="1" applyFill="1" applyBorder="1"/>
    <xf numFmtId="14" fontId="2" fillId="4" borderId="2" xfId="0" applyNumberFormat="1" applyFont="1" applyFill="1" applyBorder="1"/>
    <xf numFmtId="0" fontId="2" fillId="4" borderId="2" xfId="0" applyFont="1" applyFill="1" applyBorder="1"/>
    <xf numFmtId="14" fontId="2" fillId="4" borderId="1" xfId="0" applyNumberFormat="1" applyFont="1" applyFill="1" applyBorder="1"/>
    <xf numFmtId="0" fontId="0" fillId="0" borderId="0" xfId="0" pivotButton="1"/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2" fillId="0" borderId="3" xfId="0" applyFont="1" applyBorder="1"/>
    <xf numFmtId="14" fontId="2" fillId="0" borderId="3" xfId="0" applyNumberFormat="1" applyFont="1" applyBorder="1"/>
    <xf numFmtId="0" fontId="4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 wrapText="1"/>
    </xf>
    <xf numFmtId="14" fontId="4" fillId="3" borderId="6" xfId="0" applyNumberFormat="1" applyFont="1" applyFill="1" applyBorder="1" applyAlignment="1">
      <alignment horizontal="right" vertical="center"/>
    </xf>
    <xf numFmtId="0" fontId="4" fillId="3" borderId="6" xfId="1" applyFont="1" applyFill="1" applyBorder="1" applyAlignment="1">
      <alignment horizontal="center" vertical="center"/>
    </xf>
    <xf numFmtId="0" fontId="0" fillId="0" borderId="6" xfId="0" applyBorder="1"/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14" fontId="4" fillId="0" borderId="6" xfId="0" applyNumberFormat="1" applyFont="1" applyBorder="1" applyAlignment="1">
      <alignment horizontal="right" vertical="center"/>
    </xf>
    <xf numFmtId="0" fontId="4" fillId="0" borderId="6" xfId="1" applyFont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0" fillId="0" borderId="0" xfId="0" pivotButton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9" fillId="0" borderId="4" xfId="0" applyFont="1" applyBorder="1" applyAlignment="1">
      <alignment horizontal="center" vertical="top" wrapText="1"/>
    </xf>
    <xf numFmtId="164" fontId="8" fillId="0" borderId="4" xfId="0" applyNumberFormat="1" applyFont="1" applyBorder="1" applyAlignment="1">
      <alignment horizontal="center" vertical="top" wrapText="1"/>
    </xf>
    <xf numFmtId="14" fontId="0" fillId="0" borderId="0" xfId="0" applyNumberFormat="1"/>
    <xf numFmtId="14" fontId="8" fillId="0" borderId="4" xfId="0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3" fillId="2" borderId="6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top" wrapText="1"/>
    </xf>
    <xf numFmtId="0" fontId="0" fillId="0" borderId="6" xfId="0" applyBorder="1" applyAlignment="1">
      <alignment vertical="top"/>
    </xf>
    <xf numFmtId="0" fontId="3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right" vertical="center" wrapText="1"/>
    </xf>
    <xf numFmtId="0" fontId="2" fillId="0" borderId="0" xfId="0" applyFont="1"/>
  </cellXfs>
  <cellStyles count="2">
    <cellStyle name="Normal" xfId="0" builtinId="0"/>
    <cellStyle name="Normal 3" xfId="1" xr:uid="{40160B2A-AC40-4E83-A48D-1207F911F9F0}"/>
  </cellStyles>
  <dxfs count="1295"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numFmt numFmtId="19" formatCode="dd/mm/yyyy"/>
    </dxf>
    <dxf>
      <numFmt numFmtId="19" formatCode="dd/mm/yyyy"/>
    </dxf>
    <dxf>
      <font>
        <color theme="5" tint="-0.249977111117893"/>
      </font>
    </dxf>
    <dxf>
      <font>
        <color theme="5" tint="-0.249977111117893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color theme="0"/>
      </font>
    </dxf>
    <dxf>
      <font>
        <color theme="0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64" formatCode="_ * #,##0_ ;_ * \-#,##0_ ;_ * &quot;-&quot;??_ ;_ @_ "/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border>
        <left style="thin">
          <color theme="7" tint="-0.249977111117893"/>
        </left>
        <right style="thin">
          <color theme="7" tint="-0.249977111117893"/>
        </right>
        <top style="thin">
          <color theme="7" tint="-0.249977111117893"/>
        </top>
        <bottom style="thin">
          <color theme="7" tint="-0.249977111117893"/>
        </bottom>
        <vertical style="thin">
          <color theme="7" tint="-0.249977111117893"/>
        </vertical>
        <horizontal style="thin">
          <color theme="7" tint="-0.249977111117893"/>
        </horizontal>
      </border>
    </dxf>
    <dxf>
      <font>
        <b/>
        <family val="2"/>
      </font>
      <fill>
        <patternFill patternType="none">
          <fgColor indexed="64"/>
          <bgColor auto="1"/>
        </patternFill>
      </fill>
    </dxf>
    <dxf>
      <font>
        <b/>
        <family val="2"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/>
        <family val="2"/>
      </font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pivotCacheDefinition" Target="pivotCache/pivotCacheDefinition5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yn\Desktop\FINAL%20-Notifications%20No.%20-List%20of%20Branches%20of%20ICAI_State%20wise%20update%2030-10-2025.xlsx" TargetMode="External"/><Relationship Id="rId1" Type="http://schemas.openxmlformats.org/officeDocument/2006/relationships/externalLinkPath" Target="https://icainet-my.sharepoint.com/personal/bk_rba_icai_in/Documents/REGISTRY%20ENTRY/All%20in%20one/FINAL%20-Notifications%20No.%20-List%20of%20Branches%20of%20ICAI_State%20wise%20update%2030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nch Notification"/>
      <sheetName val="Final Data_Notifications No."/>
      <sheetName val="Sheet1"/>
      <sheetName val="Sheet2"/>
      <sheetName val="Pvt Table"/>
      <sheetName val="DISTRICT BRANCHES"/>
    </sheetNames>
    <sheetDataSet>
      <sheetData sheetId="0"/>
      <sheetData sheetId="1"/>
      <sheetData sheetId="2">
        <row r="2">
          <cell r="D2" t="str">
            <v>Agra</v>
          </cell>
        </row>
        <row r="3">
          <cell r="D3" t="str">
            <v>Ajmer</v>
          </cell>
        </row>
        <row r="4">
          <cell r="D4" t="str">
            <v>Aligarh</v>
          </cell>
        </row>
        <row r="5">
          <cell r="D5" t="str">
            <v>Allahabad</v>
          </cell>
        </row>
        <row r="6">
          <cell r="D6" t="str">
            <v>Alwar</v>
          </cell>
        </row>
        <row r="7">
          <cell r="D7" t="str">
            <v>Bareilly</v>
          </cell>
        </row>
        <row r="8">
          <cell r="D8" t="str">
            <v>Beawar</v>
          </cell>
        </row>
        <row r="9">
          <cell r="D9" t="str">
            <v>Bharatpur</v>
          </cell>
        </row>
        <row r="10">
          <cell r="D10" t="str">
            <v>Bhilai</v>
          </cell>
        </row>
        <row r="11">
          <cell r="D11" t="str">
            <v>Bhilwara</v>
          </cell>
        </row>
        <row r="12">
          <cell r="D12" t="str">
            <v>Bhopal</v>
          </cell>
        </row>
        <row r="13">
          <cell r="D13" t="str">
            <v>Bikaner</v>
          </cell>
        </row>
        <row r="14">
          <cell r="D14" t="str">
            <v>Bilaspur</v>
          </cell>
        </row>
        <row r="15">
          <cell r="D15" t="str">
            <v>Chittorgarh</v>
          </cell>
        </row>
        <row r="16">
          <cell r="D16" t="str">
            <v>Dehradun</v>
          </cell>
        </row>
        <row r="17">
          <cell r="D17" t="str">
            <v>Dhanbad</v>
          </cell>
        </row>
        <row r="18">
          <cell r="D18" t="str">
            <v>Ghaziabad</v>
          </cell>
        </row>
        <row r="19">
          <cell r="D19" t="str">
            <v>Gorakhpur</v>
          </cell>
        </row>
        <row r="20">
          <cell r="D20" t="str">
            <v>Gwalior</v>
          </cell>
        </row>
        <row r="21">
          <cell r="D21" t="str">
            <v>Indore</v>
          </cell>
        </row>
        <row r="22">
          <cell r="D22" t="str">
            <v>Jabalpur</v>
          </cell>
        </row>
        <row r="23">
          <cell r="D23" t="str">
            <v>Jaipur</v>
          </cell>
        </row>
        <row r="24">
          <cell r="D24" t="str">
            <v>Jamshedpur</v>
          </cell>
        </row>
        <row r="25">
          <cell r="D25" t="str">
            <v>Jhansi</v>
          </cell>
        </row>
        <row r="26">
          <cell r="D26" t="str">
            <v>Jodhpur</v>
          </cell>
        </row>
        <row r="27">
          <cell r="D27" t="str">
            <v>Kishangarh</v>
          </cell>
        </row>
        <row r="28">
          <cell r="D28" t="str">
            <v>Kota</v>
          </cell>
        </row>
        <row r="29">
          <cell r="D29" t="str">
            <v>Lucknow</v>
          </cell>
        </row>
        <row r="30">
          <cell r="D30" t="str">
            <v>Mathura</v>
          </cell>
        </row>
        <row r="31">
          <cell r="D31" t="str">
            <v>Meerut</v>
          </cell>
        </row>
        <row r="32">
          <cell r="D32" t="str">
            <v>Moradabad</v>
          </cell>
        </row>
        <row r="33">
          <cell r="D33" t="str">
            <v>Muzaffarnagar</v>
          </cell>
        </row>
        <row r="34">
          <cell r="D34" t="str">
            <v>Noida</v>
          </cell>
        </row>
        <row r="35">
          <cell r="D35" t="str">
            <v>Pali</v>
          </cell>
        </row>
        <row r="36">
          <cell r="D36" t="str">
            <v>Patna</v>
          </cell>
        </row>
        <row r="37">
          <cell r="D37" t="str">
            <v>Raipur</v>
          </cell>
        </row>
        <row r="38">
          <cell r="D38" t="str">
            <v>Ranchi</v>
          </cell>
        </row>
        <row r="39">
          <cell r="D39" t="str">
            <v>Ratlam</v>
          </cell>
        </row>
        <row r="40">
          <cell r="D40" t="str">
            <v>Saharanpur</v>
          </cell>
        </row>
        <row r="41">
          <cell r="D41" t="str">
            <v>Sikar</v>
          </cell>
        </row>
        <row r="42">
          <cell r="D42" t="str">
            <v>Sriganganagar</v>
          </cell>
        </row>
        <row r="43">
          <cell r="D43" t="str">
            <v>Udaipur</v>
          </cell>
        </row>
        <row r="44">
          <cell r="D44" t="str">
            <v>Ujjain</v>
          </cell>
        </row>
        <row r="45">
          <cell r="D45" t="str">
            <v>Varanasi</v>
          </cell>
        </row>
        <row r="46">
          <cell r="D46" t="str">
            <v>Haridwar</v>
          </cell>
        </row>
        <row r="47">
          <cell r="D47" t="str">
            <v>Haldwani</v>
          </cell>
        </row>
        <row r="48">
          <cell r="D48" t="str">
            <v>Bulandshahr</v>
          </cell>
        </row>
        <row r="49">
          <cell r="D49" t="str">
            <v>Bhagalpur</v>
          </cell>
        </row>
        <row r="50">
          <cell r="D50" t="str">
            <v>Hanumangarh</v>
          </cell>
        </row>
        <row r="51">
          <cell r="D51" t="str">
            <v>Satna</v>
          </cell>
        </row>
        <row r="52">
          <cell r="D52" t="str">
            <v>Mandsaur</v>
          </cell>
        </row>
        <row r="53">
          <cell r="D53" t="str">
            <v>Rajsamand</v>
          </cell>
        </row>
        <row r="54">
          <cell r="D54" t="str">
            <v>Darbhanga</v>
          </cell>
        </row>
        <row r="55">
          <cell r="D55" t="str">
            <v>Neemuch</v>
          </cell>
        </row>
        <row r="56">
          <cell r="D56" t="str">
            <v>Muzaffarpur</v>
          </cell>
        </row>
        <row r="57">
          <cell r="D57" t="str">
            <v>Raigarh</v>
          </cell>
        </row>
        <row r="58">
          <cell r="D58" t="str">
            <v>Tonk</v>
          </cell>
        </row>
        <row r="59">
          <cell r="D59" t="str">
            <v>Churu</v>
          </cell>
        </row>
        <row r="60">
          <cell r="D60" t="str">
            <v>Jhunjhunu</v>
          </cell>
        </row>
        <row r="61">
          <cell r="D61" t="str">
            <v>Nagaur</v>
          </cell>
        </row>
        <row r="62">
          <cell r="D62" t="str">
            <v>Bhiwadi</v>
          </cell>
        </row>
        <row r="63">
          <cell r="D63" t="str">
            <v>Asansol</v>
          </cell>
        </row>
        <row r="64">
          <cell r="D64" t="str">
            <v>Bhubaneshwar</v>
          </cell>
        </row>
        <row r="65">
          <cell r="D65" t="str">
            <v>Cuttack</v>
          </cell>
        </row>
        <row r="66">
          <cell r="D66" t="str">
            <v>Dibrugarh</v>
          </cell>
        </row>
        <row r="67">
          <cell r="D67" t="str">
            <v>Durgapur</v>
          </cell>
        </row>
        <row r="68">
          <cell r="D68" t="str">
            <v>Guwahati</v>
          </cell>
        </row>
        <row r="69">
          <cell r="D69" t="str">
            <v>Raniganj</v>
          </cell>
        </row>
        <row r="70">
          <cell r="D70" t="str">
            <v>Rourkela</v>
          </cell>
        </row>
        <row r="71">
          <cell r="D71" t="str">
            <v>Sambalpur</v>
          </cell>
        </row>
        <row r="72">
          <cell r="D72" t="str">
            <v>Siliguri</v>
          </cell>
        </row>
        <row r="73">
          <cell r="D73" t="str">
            <v>Tinsukia</v>
          </cell>
        </row>
        <row r="74">
          <cell r="D74" t="str">
            <v>Jharsuguda</v>
          </cell>
        </row>
        <row r="75">
          <cell r="D75" t="str">
            <v>Brahmapur</v>
          </cell>
        </row>
        <row r="76">
          <cell r="D76" t="str">
            <v>Amritsar</v>
          </cell>
        </row>
        <row r="77">
          <cell r="D77" t="str">
            <v>Chandigarh</v>
          </cell>
        </row>
        <row r="78">
          <cell r="D78" t="str">
            <v>Faridabad</v>
          </cell>
        </row>
        <row r="79">
          <cell r="D79" t="str">
            <v>Hisar</v>
          </cell>
        </row>
        <row r="80">
          <cell r="D80" t="str">
            <v>Jalandhar</v>
          </cell>
        </row>
        <row r="81">
          <cell r="D81" t="str">
            <v>Jammu &amp; Kashmir</v>
          </cell>
        </row>
        <row r="82">
          <cell r="D82" t="str">
            <v>Ludhiana</v>
          </cell>
        </row>
        <row r="83">
          <cell r="D83" t="str">
            <v>Rohtak</v>
          </cell>
        </row>
        <row r="84">
          <cell r="D84" t="str">
            <v>Himachal Pradesh (Shimla)</v>
          </cell>
        </row>
        <row r="85">
          <cell r="D85" t="str">
            <v>Karnal</v>
          </cell>
        </row>
        <row r="86">
          <cell r="D86" t="str">
            <v>Gurgaon</v>
          </cell>
        </row>
        <row r="87">
          <cell r="D87" t="str">
            <v>Panipat</v>
          </cell>
        </row>
        <row r="88">
          <cell r="D88" t="str">
            <v>Patiala</v>
          </cell>
        </row>
        <row r="89">
          <cell r="D89" t="str">
            <v>Ambala</v>
          </cell>
        </row>
        <row r="90">
          <cell r="D90" t="str">
            <v>Sangrur</v>
          </cell>
        </row>
        <row r="91">
          <cell r="D91" t="str">
            <v>Sonepat</v>
          </cell>
        </row>
        <row r="92">
          <cell r="D92" t="str">
            <v>Bathinda</v>
          </cell>
        </row>
        <row r="93">
          <cell r="D93" t="str">
            <v>Sirsa</v>
          </cell>
        </row>
        <row r="94">
          <cell r="D94" t="str">
            <v>Rewari</v>
          </cell>
        </row>
        <row r="95">
          <cell r="D95" t="str">
            <v>Bahadurgarh</v>
          </cell>
        </row>
        <row r="96">
          <cell r="D96" t="str">
            <v>Bhiwani</v>
          </cell>
        </row>
        <row r="97">
          <cell r="D97" t="str">
            <v>Kaithal</v>
          </cell>
        </row>
        <row r="98">
          <cell r="D98" t="str">
            <v>Kurukshetra</v>
          </cell>
        </row>
        <row r="99">
          <cell r="D99" t="str">
            <v>Mandi Gobindgarh</v>
          </cell>
        </row>
        <row r="100">
          <cell r="D100" t="str">
            <v>Yamunanagar</v>
          </cell>
        </row>
        <row r="101">
          <cell r="D101" t="str">
            <v>Alleppey</v>
          </cell>
        </row>
        <row r="102">
          <cell r="D102" t="str">
            <v>Anantapur</v>
          </cell>
        </row>
        <row r="103">
          <cell r="D103" t="str">
            <v>Bangalore</v>
          </cell>
        </row>
        <row r="104">
          <cell r="D104" t="str">
            <v>Belgaum</v>
          </cell>
        </row>
        <row r="105">
          <cell r="D105" t="str">
            <v>Bellary</v>
          </cell>
        </row>
        <row r="106">
          <cell r="D106" t="str">
            <v>Calicut</v>
          </cell>
        </row>
        <row r="107">
          <cell r="D107" t="str">
            <v>Coimbatore</v>
          </cell>
        </row>
        <row r="108">
          <cell r="D108" t="str">
            <v>Ernakulum</v>
          </cell>
        </row>
        <row r="109">
          <cell r="D109" t="str">
            <v>Erode</v>
          </cell>
        </row>
        <row r="110">
          <cell r="D110" t="str">
            <v>Guntur</v>
          </cell>
        </row>
        <row r="111">
          <cell r="D111" t="str">
            <v>Hubli</v>
          </cell>
        </row>
        <row r="112">
          <cell r="D112" t="str">
            <v>Hyderabad</v>
          </cell>
        </row>
        <row r="113">
          <cell r="D113" t="str">
            <v>Kakinada</v>
          </cell>
        </row>
        <row r="114">
          <cell r="D114" t="str">
            <v>Kannur</v>
          </cell>
        </row>
        <row r="115">
          <cell r="D115" t="str">
            <v>Karimnagar</v>
          </cell>
        </row>
        <row r="116">
          <cell r="D116" t="str">
            <v>Kottayam</v>
          </cell>
        </row>
        <row r="117">
          <cell r="D117" t="str">
            <v>Kumbakonam</v>
          </cell>
        </row>
        <row r="118">
          <cell r="D118" t="str">
            <v>Kurnool</v>
          </cell>
        </row>
        <row r="119">
          <cell r="D119" t="str">
            <v>Madurai</v>
          </cell>
        </row>
        <row r="120">
          <cell r="D120" t="str">
            <v>Mangalore</v>
          </cell>
        </row>
        <row r="121">
          <cell r="D121" t="str">
            <v>Mysore</v>
          </cell>
        </row>
        <row r="122">
          <cell r="D122" t="str">
            <v>Nellore</v>
          </cell>
        </row>
        <row r="123">
          <cell r="D123" t="str">
            <v>Ongole</v>
          </cell>
        </row>
        <row r="124">
          <cell r="D124" t="str">
            <v>Palghat</v>
          </cell>
        </row>
        <row r="125">
          <cell r="D125" t="str">
            <v>Pondicherry</v>
          </cell>
        </row>
        <row r="126">
          <cell r="D126" t="str">
            <v>Quilon</v>
          </cell>
        </row>
        <row r="127">
          <cell r="D127" t="str">
            <v>Rajamahendravaram</v>
          </cell>
        </row>
        <row r="128">
          <cell r="D128" t="str">
            <v>Salem</v>
          </cell>
        </row>
        <row r="129">
          <cell r="D129" t="str">
            <v>Sivakasi</v>
          </cell>
        </row>
        <row r="130">
          <cell r="D130" t="str">
            <v>Tirunelveli</v>
          </cell>
        </row>
        <row r="131">
          <cell r="D131" t="str">
            <v>Tirupati</v>
          </cell>
        </row>
        <row r="132">
          <cell r="D132" t="str">
            <v>Thrissur</v>
          </cell>
        </row>
        <row r="133">
          <cell r="D133" t="str">
            <v>Tiruchirappalli</v>
          </cell>
        </row>
        <row r="134">
          <cell r="D134" t="str">
            <v>Tirupur</v>
          </cell>
        </row>
        <row r="135">
          <cell r="D135" t="str">
            <v>Trivandrum</v>
          </cell>
        </row>
        <row r="136">
          <cell r="D136" t="str">
            <v>Tuticorin</v>
          </cell>
        </row>
        <row r="137">
          <cell r="D137" t="str">
            <v>Udupi</v>
          </cell>
        </row>
        <row r="138">
          <cell r="D138" t="str">
            <v>Vellore</v>
          </cell>
        </row>
        <row r="139">
          <cell r="D139" t="str">
            <v>Vijayawada</v>
          </cell>
        </row>
        <row r="140">
          <cell r="D140" t="str">
            <v>Visakhapatnam</v>
          </cell>
        </row>
        <row r="141">
          <cell r="D141" t="str">
            <v>Warangal</v>
          </cell>
        </row>
        <row r="142">
          <cell r="D142" t="str">
            <v>West Godavari</v>
          </cell>
        </row>
        <row r="143">
          <cell r="D143" t="str">
            <v>Kalaburgi</v>
          </cell>
        </row>
        <row r="144">
          <cell r="D144" t="str">
            <v>Kanchipuram</v>
          </cell>
        </row>
        <row r="145">
          <cell r="D145" t="str">
            <v>Kadapa</v>
          </cell>
        </row>
        <row r="146">
          <cell r="D146" t="str">
            <v>Vizianagaram</v>
          </cell>
        </row>
        <row r="147">
          <cell r="D147" t="str">
            <v xml:space="preserve">Khammam </v>
          </cell>
        </row>
        <row r="148">
          <cell r="D148" t="str">
            <v>Nizamabad</v>
          </cell>
        </row>
        <row r="149">
          <cell r="D149" t="str">
            <v>Ahmedabad</v>
          </cell>
        </row>
        <row r="150">
          <cell r="D150" t="str">
            <v>Ahmednagar</v>
          </cell>
        </row>
        <row r="151">
          <cell r="D151" t="str">
            <v>Akola</v>
          </cell>
        </row>
        <row r="152">
          <cell r="D152" t="str">
            <v>Amravati</v>
          </cell>
        </row>
        <row r="153">
          <cell r="D153" t="str">
            <v>Anand</v>
          </cell>
        </row>
        <row r="154">
          <cell r="D154" t="str">
            <v>Aurangabad</v>
          </cell>
        </row>
        <row r="155">
          <cell r="D155" t="str">
            <v>Baroda</v>
          </cell>
        </row>
        <row r="156">
          <cell r="D156" t="str">
            <v>Bharuch</v>
          </cell>
        </row>
        <row r="157">
          <cell r="D157" t="str">
            <v>Bhavnagar</v>
          </cell>
        </row>
        <row r="158">
          <cell r="D158" t="str">
            <v>Dhule</v>
          </cell>
        </row>
        <row r="159">
          <cell r="D159" t="str">
            <v>Gandhidham</v>
          </cell>
        </row>
        <row r="160">
          <cell r="D160" t="str">
            <v>Goa</v>
          </cell>
        </row>
        <row r="161">
          <cell r="D161" t="str">
            <v>Jalgaon</v>
          </cell>
        </row>
        <row r="162">
          <cell r="D162" t="str">
            <v>Jamnagar</v>
          </cell>
        </row>
        <row r="163">
          <cell r="D163" t="str">
            <v>Kolhapur</v>
          </cell>
        </row>
        <row r="164">
          <cell r="D164" t="str">
            <v>Latur</v>
          </cell>
        </row>
        <row r="165">
          <cell r="D165" t="str">
            <v>Nagpur</v>
          </cell>
        </row>
        <row r="166">
          <cell r="D166" t="str">
            <v>Nanded</v>
          </cell>
        </row>
        <row r="167">
          <cell r="D167" t="str">
            <v>Nashik</v>
          </cell>
        </row>
        <row r="168">
          <cell r="D168" t="str">
            <v>Navi Mumbai</v>
          </cell>
        </row>
        <row r="169">
          <cell r="D169" t="str">
            <v>Navsari</v>
          </cell>
        </row>
        <row r="170">
          <cell r="D170" t="str">
            <v>Pimpri Chinchwad</v>
          </cell>
        </row>
        <row r="171">
          <cell r="D171" t="str">
            <v>Pune</v>
          </cell>
        </row>
        <row r="172">
          <cell r="D172" t="str">
            <v>Rajkot</v>
          </cell>
        </row>
        <row r="173">
          <cell r="D173" t="str">
            <v>Ratnagiri</v>
          </cell>
        </row>
        <row r="174">
          <cell r="D174" t="str">
            <v>Sangali</v>
          </cell>
        </row>
        <row r="175">
          <cell r="D175" t="str">
            <v>Satara</v>
          </cell>
        </row>
        <row r="176">
          <cell r="D176" t="str">
            <v>Solapur</v>
          </cell>
        </row>
        <row r="177">
          <cell r="D177" t="str">
            <v>Surat</v>
          </cell>
        </row>
        <row r="178">
          <cell r="D178" t="str">
            <v>Thane</v>
          </cell>
        </row>
        <row r="179">
          <cell r="D179" t="str">
            <v>Vapi</v>
          </cell>
        </row>
        <row r="180">
          <cell r="D180" t="str">
            <v>Vasai</v>
          </cell>
        </row>
        <row r="181">
          <cell r="D181" t="str">
            <v>Bhuj</v>
          </cell>
        </row>
        <row r="182">
          <cell r="D182" t="str">
            <v>Kalyan</v>
          </cell>
        </row>
        <row r="183">
          <cell r="D183" t="str">
            <v>Inchakaranji</v>
          </cell>
        </row>
        <row r="184">
          <cell r="D184" t="str">
            <v>Gandhinagar</v>
          </cell>
        </row>
        <row r="185">
          <cell r="D185" t="str">
            <v>Gondia</v>
          </cell>
        </row>
        <row r="186">
          <cell r="D186" t="str">
            <v>Morbi</v>
          </cell>
        </row>
      </sheetData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AI" refreshedDate="46148.610878703701" createdVersion="8" refreshedVersion="8" minRefreshableVersion="3" recordCount="191" xr:uid="{13DC787E-E8CD-44EA-80CB-AAC149066FD7}">
  <cacheSource type="worksheet">
    <worksheetSource name="Table1"/>
  </cacheSource>
  <cacheFields count="11">
    <cacheField name="REGION" numFmtId="0">
      <sharedItems count="5">
        <s v="CIRC"/>
        <s v="EIRC"/>
        <s v="NIRC"/>
        <s v="SIRC"/>
        <s v="WIRC"/>
      </sharedItems>
    </cacheField>
    <cacheField name="UNIT NAME" numFmtId="0">
      <sharedItems count="191">
        <s v="CIRC"/>
        <s v="Agra"/>
        <s v="Ajmer"/>
        <s v="Aligarh"/>
        <s v="Allahabad"/>
        <s v="Alwar"/>
        <s v="Bareilly"/>
        <s v="Beawar"/>
        <s v="Bharatpur"/>
        <s v="Bhilai"/>
        <s v="Bhilwara"/>
        <s v="Bhopal"/>
        <s v="Bikaner"/>
        <s v="Bilaspur"/>
        <s v="Chittorgarh"/>
        <s v="Dehradun"/>
        <s v="Dhanbad"/>
        <s v="Ghaziabad"/>
        <s v="Gorakhpur"/>
        <s v="Gwalior"/>
        <s v="Indore"/>
        <s v="Jabalpur"/>
        <s v="Jaipur"/>
        <s v="Jamshedpur"/>
        <s v="Jhansi"/>
        <s v="Jodhpur"/>
        <s v="Kishangarh"/>
        <s v="Kota"/>
        <s v="Lucknow"/>
        <s v="Mathura"/>
        <s v="Meerut"/>
        <s v="Moradabad"/>
        <s v="Muzaffarnagar"/>
        <s v="Noida"/>
        <s v="Pali"/>
        <s v="Patna"/>
        <s v="Raipur"/>
        <s v="Ranchi"/>
        <s v="Ratlam"/>
        <s v="Saharanpur"/>
        <s v="Sikar"/>
        <s v="Sriganganagar"/>
        <s v="Udaipur"/>
        <s v="Ujjain"/>
        <s v="Varanasi"/>
        <s v="Haridwar"/>
        <s v="Haldwani"/>
        <s v="Bulandshahr"/>
        <s v="Bhagalpur"/>
        <s v="Hanumangarh"/>
        <s v="Satna"/>
        <s v="Mandsaur"/>
        <s v="Rajsamand"/>
        <s v="Darbhanga"/>
        <s v="Neemuch"/>
        <s v="Muzaffarpur"/>
        <s v="Raigarh"/>
        <s v="Tonk"/>
        <s v="Nagaur"/>
        <s v="Jhunjhunu"/>
        <s v="Churu"/>
        <s v="Bhiwadi"/>
        <s v="Korba"/>
        <s v="EIRC"/>
        <s v="Asansol"/>
        <s v="Bhubaneshwar"/>
        <s v="Cuttack"/>
        <s v="Dibrugarh"/>
        <s v="Durgapur"/>
        <s v="Guwahati"/>
        <s v="Raniganj"/>
        <s v="Rourkela"/>
        <s v="Sambalpur"/>
        <s v="Siliguri"/>
        <s v="Tinsukia"/>
        <s v="Jharsuguda"/>
        <s v="Brahmapur"/>
        <s v="NIRC"/>
        <s v="Amritsar"/>
        <s v="Chandigarh"/>
        <s v="Faridabad"/>
        <s v="Hisar"/>
        <s v="Jalandhar"/>
        <s v="Jammu"/>
        <s v="Ludhiana"/>
        <s v="Rohtak"/>
        <s v="Shimla"/>
        <s v="Karnal"/>
        <s v="Yamunanagar"/>
        <s v="Gurgaon"/>
        <s v="Panipat"/>
        <s v="Patiala"/>
        <s v="Ambala"/>
        <s v="Sangrur"/>
        <s v="Sonepat"/>
        <s v="Bathinda"/>
        <s v="Sirsa"/>
        <s v="Rewari"/>
        <s v="Bahadurgarh"/>
        <s v="Bhiwani"/>
        <s v="Kaithal"/>
        <s v="Kurukshetra"/>
        <s v="Mandi Gobind Garh"/>
        <s v="SIRC"/>
        <s v="Alleppey"/>
        <s v="Anantapur"/>
        <s v="Bangalore"/>
        <s v="Belgaum"/>
        <s v="Bellary"/>
        <s v="Calicut"/>
        <s v="Coimbatore"/>
        <s v="Ernakulum"/>
        <s v="Erode"/>
        <s v="Guntur"/>
        <s v="Hubli"/>
        <s v="Hyderabad"/>
        <s v="Kakinada"/>
        <s v="Kannur"/>
        <s v="Karimnagar"/>
        <s v="Kottayam"/>
        <s v="Kumbakonam"/>
        <s v="Kurnool"/>
        <s v="Madurai"/>
        <s v="Mangalore"/>
        <s v="Mysore"/>
        <s v="Nellore"/>
        <s v="Ongole"/>
        <s v="Palghat"/>
        <s v="Pondicherry"/>
        <s v="Quilon"/>
        <s v="Rajamahendravaram"/>
        <s v="Salem"/>
        <s v="Sivakasi"/>
        <s v="Tirunelveli"/>
        <s v="Tirupati"/>
        <s v="Thrissur"/>
        <s v="Tiruchirappalli"/>
        <s v="Tirupur"/>
        <s v="Trivandrum"/>
        <s v="Tuticorin"/>
        <s v="Udupi"/>
        <s v="Vellore"/>
        <s v="Vijayawada"/>
        <s v="Visakhapatnam"/>
        <s v="Warangal"/>
        <s v="West Godavari"/>
        <s v="Kalaburgi"/>
        <s v="Kanchipuram"/>
        <s v="Kadapa"/>
        <s v="Vizianagaram"/>
        <s v="Khammam "/>
        <s v="Nizamabad "/>
        <s v="WIRC"/>
        <s v="Ahmedabad"/>
        <s v="Ahmednagar"/>
        <s v="Akola"/>
        <s v="Amravati"/>
        <s v="Anand"/>
        <s v="Aurangabad"/>
        <s v="Baroda"/>
        <s v="Bharuch"/>
        <s v="Bhavnagar"/>
        <s v="Dhule"/>
        <s v="Gandhidham"/>
        <s v="Goa"/>
        <s v="Jalgaon"/>
        <s v="Jamnagar"/>
        <s v="Kolhapur"/>
        <s v="Latur"/>
        <s v="Nagpur"/>
        <s v="Nanded"/>
        <s v="Nashik"/>
        <s v="Navi Mumbai"/>
        <s v="Navsari"/>
        <s v="Pimpri Chinchwad"/>
        <s v="Pune"/>
        <s v="Rajkot"/>
        <s v="Ratnagiri"/>
        <s v="Sangali"/>
        <s v="Satara"/>
        <s v="Solapur"/>
        <s v="Surat"/>
        <s v="Thane"/>
        <s v="Vapi"/>
        <s v="Vasai"/>
        <s v="Bhuj"/>
        <s v="Kalyan"/>
        <s v="Inchakaranji"/>
        <s v="Gandhinagar"/>
        <s v="Gondia"/>
        <s v="Morbi District"/>
      </sharedItems>
    </cacheField>
    <cacheField name="STATE" numFmtId="0">
      <sharedItems/>
    </cacheField>
    <cacheField name="TYPE" numFmtId="0">
      <sharedItems/>
    </cacheField>
    <cacheField name="IS STUDENT ASSO" numFmtId="0">
      <sharedItems/>
    </cacheField>
    <cacheField name="MEMBER COUNT" numFmtId="0">
      <sharedItems containsSemiMixedTypes="0" containsString="0" containsNumber="1" containsInteger="1" minValue="128" maxValue="62255"/>
    </cacheField>
    <cacheField name="STUDENT COUNT" numFmtId="0">
      <sharedItems containsSemiMixedTypes="0" containsString="0" containsNumber="1" containsInteger="1" minValue="443" maxValue="91486"/>
    </cacheField>
    <cacheField name="OWNED/RENTED" numFmtId="0">
      <sharedItems/>
    </cacheField>
    <cacheField name="SET UP DATE" numFmtId="14">
      <sharedItems containsNonDate="0" containsDate="1" containsString="0" containsBlank="1" minDate="1962-04-01T00:00:00" maxDate="2026-02-07T00:00:00"/>
    </cacheField>
    <cacheField name="Category" numFmtId="0">
      <sharedItems containsBlank="1" count="6">
        <m/>
        <s v="Medium"/>
        <s v="Small"/>
        <s v="Micro"/>
        <s v="Large"/>
        <s v="Mega"/>
      </sharedItems>
    </cacheField>
    <cacheField name="Category Range" numFmtId="0">
      <sharedItems containsBlank="1" count="6">
        <m/>
        <s v="1001 to 2500"/>
        <s v="501 to 1000"/>
        <s v="1 to 500"/>
        <s v="2501 to 5000"/>
        <s v="5000&gt;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AI" refreshedDate="46148.610876851853" createdVersion="5" refreshedVersion="8" minRefreshableVersion="3" recordCount="0" supportSubquery="1" supportAdvancedDrill="1" xr:uid="{9A2B0F83-3917-4E8A-ABD8-4FB6A8590931}">
  <cacheSource type="external" connectionId="1"/>
  <cacheFields count="4">
    <cacheField name="[Table1].[REGION].[REGION]" caption="REGION" numFmtId="0" level="1">
      <sharedItems count="5">
        <s v="CIRC"/>
        <s v="EIRC"/>
        <s v="NIRC"/>
        <s v="SIRC"/>
        <s v="WIRC"/>
      </sharedItems>
      <extLst>
        <ext xmlns:x15="http://schemas.microsoft.com/office/spreadsheetml/2010/11/main" uri="{4F2E5C28-24EA-4eb8-9CBF-B6C8F9C3D259}">
          <x15:cachedUniqueNames>
            <x15:cachedUniqueName index="0" name="[Table1].[REGION].&amp;[CIRC]"/>
            <x15:cachedUniqueName index="1" name="[Table1].[REGION].&amp;[EIRC]"/>
            <x15:cachedUniqueName index="2" name="[Table1].[REGION].&amp;[NIRC]"/>
            <x15:cachedUniqueName index="3" name="[Table1].[REGION].&amp;[SIRC]"/>
            <x15:cachedUniqueName index="4" name="[Table1].[REGION].&amp;[WIRC]"/>
          </x15:cachedUniqueNames>
        </ext>
      </extLst>
    </cacheField>
    <cacheField name="[Measures].[COUNTOF STUDENTS]" caption="COUNTOF STUDENTS" numFmtId="0" hierarchy="19" level="32767"/>
    <cacheField name="[Measures].[COUNT OF MEMBER]" caption="COUNT OF MEMBER" numFmtId="0" hierarchy="20" level="32767"/>
    <cacheField name="[Measures].[NO OF BRANCHES]" caption="NO OF BRANCHES" numFmtId="0" hierarchy="21" level="32767"/>
  </cacheFields>
  <cacheHierarchies count="25"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UNIT NAME]" caption="UNIT NAME" attribute="1" defaultMemberUniqueName="[Table1].[UNIT NAME].[All]" allUniqueName="[Table1].[UNIT NAME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TYPE]" caption="TYPE" attribute="1" defaultMemberUniqueName="[Table1].[TYPE].[All]" allUniqueName="[Table1].[TYPE].[All]" dimensionUniqueName="[Table1]" displayFolder="" count="0" memberValueDatatype="130" unbalanced="0"/>
    <cacheHierarchy uniqueName="[Table1].[IS STUDENT ASSO]" caption="IS STUDENT ASSO" attribute="1" defaultMemberUniqueName="[Table1].[IS STUDENT ASSO].[All]" allUniqueName="[Table1].[IS STUDENT ASSO].[All]" dimensionUniqueName="[Table1]" displayFolder="" count="0" memberValueDatatype="130" unbalanced="0"/>
    <cacheHierarchy uniqueName="[Table1].[MEMBER COUNT]" caption="MEMBER COUNT" attribute="1" defaultMemberUniqueName="[Table1].[MEMBER COUNT].[All]" allUniqueName="[Table1].[MEMBER COUNT].[All]" dimensionUniqueName="[Table1]" displayFolder="" count="0" memberValueDatatype="20" unbalanced="0"/>
    <cacheHierarchy uniqueName="[Table1].[STUDENT COUNT]" caption="STUDENT COUNT" attribute="1" defaultMemberUniqueName="[Table1].[STUDENT COUNT].[All]" allUniqueName="[Table1].[STUDENT COUNT].[All]" dimensionUniqueName="[Table1]" displayFolder="" count="0" memberValueDatatype="20" unbalanced="0"/>
    <cacheHierarchy uniqueName="[Table1].[OWNED/RENTED]" caption="OWNED/RENTED" attribute="1" defaultMemberUniqueName="[Table1].[OWNED/RENTED].[All]" allUniqueName="[Table1].[OWNED/RENTED].[All]" dimensionUniqueName="[Table1]" displayFolder="" count="0" memberValueDatatype="130" unbalanced="0"/>
    <cacheHierarchy uniqueName="[Table1].[SET UP DATE]" caption="SET UP DATE" attribute="1" time="1" defaultMemberUniqueName="[Table1].[SET UP DATE].[All]" allUniqueName="[Table1].[SET UP DATE].[All]" dimensionUniqueName="[Table1]" displayFolder="" count="0" memberValueDatatype="7" unbalanced="0"/>
    <cacheHierarchy uniqueName="[Table1].[SET UP DATE (Year)]" caption="SET UP DATE (Year)" attribute="1" defaultMemberUniqueName="[Table1].[SET UP DATE (Year)].[All]" allUniqueName="[Table1].[SET UP DATE (Year)].[All]" dimensionUniqueName="[Table1]" displayFolder="" count="0" memberValueDatatype="130" unbalanced="0"/>
    <cacheHierarchy uniqueName="[Table1].[SET UP DATE (Quarter)]" caption="SET UP DATE (Quarter)" attribute="1" defaultMemberUniqueName="[Table1].[SET UP DATE (Quarter)].[All]" allUniqueName="[Table1].[SET UP DATE (Quarter)].[All]" dimensionUniqueName="[Table1]" displayFolder="" count="0" memberValueDatatype="130" unbalanced="0"/>
    <cacheHierarchy uniqueName="[Table1].[SET UP DATE (Month)]" caption="SET UP DATE (Month)" attribute="1" defaultMemberUniqueName="[Table1].[SET UP DATE (Month)].[All]" allUniqueName="[Table1].[SET UP DATE (Month)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ategory Range]" caption="Category Range" attribute="1" defaultMemberUniqueName="[Table1].[Category Range].[All]" allUniqueName="[Table1].[Category Range].[All]" dimensionUniqueName="[Table1]" displayFolder="" count="0" memberValueDatatype="130" unbalanced="0"/>
    <cacheHierarchy uniqueName="[Table1].[SET UP DATE (Month Index)]" caption="SET UP DATE (Month Index)" attribute="1" defaultMemberUniqueName="[Table1].[SET UP DATE (Month Index)].[All]" allUniqueName="[Table1].[SET UP DATE (Month Index)].[All]" dimensionUniqueName="[Table1]" displayFolder="" count="0" memberValueDatatype="20" unbalanced="0" hidden="1"/>
    <cacheHierarchy uniqueName="[Measures].[OLDEST BRANCH]" caption="OLDEST BRANCH" measure="1" displayFolder="" measureGroup="Table1" count="0"/>
    <cacheHierarchy uniqueName="[Measures].[OLDEST DATE]" caption="OLDEST DATE" measure="1" displayFolder="" measureGroup="Table1" count="0"/>
    <cacheHierarchy uniqueName="[Measures].[NEWEST BRANCH]" caption="NEWEST BRANCH" measure="1" displayFolder="" measureGroup="Table1" count="0"/>
    <cacheHierarchy uniqueName="[Measures].[NEWEST DATE]" caption="NEWEST DATE" measure="1" displayFolder="" measureGroup="Table1" count="0"/>
    <cacheHierarchy uniqueName="[Measures].[COUNTOF STUDENTS]" caption="COUNTOF STUDENTS" measure="1" displayFolder="" measureGroup="Table1" count="0" oneField="1">
      <fieldsUsage count="1">
        <fieldUsage x="1"/>
      </fieldsUsage>
    </cacheHierarchy>
    <cacheHierarchy uniqueName="[Measures].[COUNT OF MEMBER]" caption="COUNT OF MEMBER" measure="1" displayFolder="" measureGroup="Table1" count="0" oneField="1">
      <fieldsUsage count="1">
        <fieldUsage x="2"/>
      </fieldsUsage>
    </cacheHierarchy>
    <cacheHierarchy uniqueName="[Measures].[NO OF BRANCHES]" caption="NO OF BRANCHES" measure="1" displayFolder="" measureGroup="Table1" count="0" oneField="1">
      <fieldsUsage count="1">
        <fieldUsage x="3"/>
      </fieldsUsage>
    </cacheHierarchy>
    <cacheHierarchy uniqueName="[Measures].[CATEGORY COUNT]" caption="CATEGORY COUNT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AI" refreshedDate="46148.610878356485" createdVersion="5" refreshedVersion="8" minRefreshableVersion="3" recordCount="0" supportSubquery="1" supportAdvancedDrill="1" xr:uid="{D65BAF8B-F259-4F96-876C-BD6C3DA55DE5}">
  <cacheSource type="external" connectionId="1"/>
  <cacheFields count="5">
    <cacheField name="[Table1].[REGION].[REGION]" caption="REGION" numFmtId="0" level="1">
      <sharedItems count="5">
        <s v="CIRC"/>
        <s v="EIRC"/>
        <s v="NIRC"/>
        <s v="SIRC"/>
        <s v="WIRC"/>
      </sharedItems>
      <extLst>
        <ext xmlns:x15="http://schemas.microsoft.com/office/spreadsheetml/2010/11/main" uri="{4F2E5C28-24EA-4eb8-9CBF-B6C8F9C3D259}">
          <x15:cachedUniqueNames>
            <x15:cachedUniqueName index="0" name="[Table1].[REGION].&amp;[CIRC]"/>
            <x15:cachedUniqueName index="1" name="[Table1].[REGION].&amp;[EIRC]"/>
            <x15:cachedUniqueName index="2" name="[Table1].[REGION].&amp;[NIRC]"/>
            <x15:cachedUniqueName index="3" name="[Table1].[REGION].&amp;[SIRC]"/>
            <x15:cachedUniqueName index="4" name="[Table1].[REGION].&amp;[WIRC]"/>
          </x15:cachedUniqueNames>
        </ext>
      </extLst>
    </cacheField>
    <cacheField name="[Measures].[OLDEST BRANCH]" caption="OLDEST BRANCH" numFmtId="0" hierarchy="15" level="32767"/>
    <cacheField name="[Measures].[OLDEST DATE]" caption="OLDEST DATE" numFmtId="0" hierarchy="16" level="32767"/>
    <cacheField name="[Measures].[NEWEST BRANCH]" caption="NEWEST BRANCH" numFmtId="0" hierarchy="17" level="32767"/>
    <cacheField name="[Measures].[NEWEST DATE]" caption="NEWEST DATE" numFmtId="0" hierarchy="18" level="32767"/>
  </cacheFields>
  <cacheHierarchies count="25"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UNIT NAME]" caption="UNIT NAME" attribute="1" defaultMemberUniqueName="[Table1].[UNIT NAME].[All]" allUniqueName="[Table1].[UNIT NAME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TYPE]" caption="TYPE" attribute="1" defaultMemberUniqueName="[Table1].[TYPE].[All]" allUniqueName="[Table1].[TYPE].[All]" dimensionUniqueName="[Table1]" displayFolder="" count="0" memberValueDatatype="130" unbalanced="0"/>
    <cacheHierarchy uniqueName="[Table1].[IS STUDENT ASSO]" caption="IS STUDENT ASSO" attribute="1" defaultMemberUniqueName="[Table1].[IS STUDENT ASSO].[All]" allUniqueName="[Table1].[IS STUDENT ASSO].[All]" dimensionUniqueName="[Table1]" displayFolder="" count="0" memberValueDatatype="130" unbalanced="0"/>
    <cacheHierarchy uniqueName="[Table1].[MEMBER COUNT]" caption="MEMBER COUNT" attribute="1" defaultMemberUniqueName="[Table1].[MEMBER COUNT].[All]" allUniqueName="[Table1].[MEMBER COUNT].[All]" dimensionUniqueName="[Table1]" displayFolder="" count="0" memberValueDatatype="20" unbalanced="0"/>
    <cacheHierarchy uniqueName="[Table1].[STUDENT COUNT]" caption="STUDENT COUNT" attribute="1" defaultMemberUniqueName="[Table1].[STUDENT COUNT].[All]" allUniqueName="[Table1].[STUDENT COUNT].[All]" dimensionUniqueName="[Table1]" displayFolder="" count="0" memberValueDatatype="20" unbalanced="0"/>
    <cacheHierarchy uniqueName="[Table1].[OWNED/RENTED]" caption="OWNED/RENTED" attribute="1" defaultMemberUniqueName="[Table1].[OWNED/RENTED].[All]" allUniqueName="[Table1].[OWNED/RENTED].[All]" dimensionUniqueName="[Table1]" displayFolder="" count="0" memberValueDatatype="130" unbalanced="0"/>
    <cacheHierarchy uniqueName="[Table1].[SET UP DATE]" caption="SET UP DATE" attribute="1" time="1" defaultMemberUniqueName="[Table1].[SET UP DATE].[All]" allUniqueName="[Table1].[SET UP DATE].[All]" dimensionUniqueName="[Table1]" displayFolder="" count="0" memberValueDatatype="7" unbalanced="0"/>
    <cacheHierarchy uniqueName="[Table1].[SET UP DATE (Year)]" caption="SET UP DATE (Year)" attribute="1" defaultMemberUniqueName="[Table1].[SET UP DATE (Year)].[All]" allUniqueName="[Table1].[SET UP DATE (Year)].[All]" dimensionUniqueName="[Table1]" displayFolder="" count="0" memberValueDatatype="130" unbalanced="0"/>
    <cacheHierarchy uniqueName="[Table1].[SET UP DATE (Quarter)]" caption="SET UP DATE (Quarter)" attribute="1" defaultMemberUniqueName="[Table1].[SET UP DATE (Quarter)].[All]" allUniqueName="[Table1].[SET UP DATE (Quarter)].[All]" dimensionUniqueName="[Table1]" displayFolder="" count="0" memberValueDatatype="130" unbalanced="0"/>
    <cacheHierarchy uniqueName="[Table1].[SET UP DATE (Month)]" caption="SET UP DATE (Month)" attribute="1" defaultMemberUniqueName="[Table1].[SET UP DATE (Month)].[All]" allUniqueName="[Table1].[SET UP DATE (Month)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ategory Range]" caption="Category Range" attribute="1" defaultMemberUniqueName="[Table1].[Category Range].[All]" allUniqueName="[Table1].[Category Range].[All]" dimensionUniqueName="[Table1]" displayFolder="" count="0" memberValueDatatype="130" unbalanced="0"/>
    <cacheHierarchy uniqueName="[Table1].[SET UP DATE (Month Index)]" caption="SET UP DATE (Month Index)" attribute="1" defaultMemberUniqueName="[Table1].[SET UP DATE (Month Index)].[All]" allUniqueName="[Table1].[SET UP DATE (Month Index)].[All]" dimensionUniqueName="[Table1]" displayFolder="" count="0" memberValueDatatype="20" unbalanced="0" hidden="1"/>
    <cacheHierarchy uniqueName="[Measures].[OLDEST BRANCH]" caption="OLDEST BRANCH" measure="1" displayFolder="" measureGroup="Table1" count="0" oneField="1">
      <fieldsUsage count="1">
        <fieldUsage x="1"/>
      </fieldsUsage>
    </cacheHierarchy>
    <cacheHierarchy uniqueName="[Measures].[OLDEST DATE]" caption="OLDEST DATE" measure="1" displayFolder="" measureGroup="Table1" count="0" oneField="1">
      <fieldsUsage count="1">
        <fieldUsage x="2"/>
      </fieldsUsage>
    </cacheHierarchy>
    <cacheHierarchy uniqueName="[Measures].[NEWEST BRANCH]" caption="NEWEST BRANCH" measure="1" displayFolder="" measureGroup="Table1" count="0" oneField="1">
      <fieldsUsage count="1">
        <fieldUsage x="3"/>
      </fieldsUsage>
    </cacheHierarchy>
    <cacheHierarchy uniqueName="[Measures].[NEWEST DATE]" caption="NEWEST DATE" measure="1" displayFolder="" measureGroup="Table1" count="0" oneField="1">
      <fieldsUsage count="1">
        <fieldUsage x="4"/>
      </fieldsUsage>
    </cacheHierarchy>
    <cacheHierarchy uniqueName="[Measures].[COUNTOF STUDENTS]" caption="COUNTOF STUDENTS" measure="1" displayFolder="" measureGroup="Table1" count="0"/>
    <cacheHierarchy uniqueName="[Measures].[COUNT OF MEMBER]" caption="COUNT OF MEMBER" measure="1" displayFolder="" measureGroup="Table1" count="0"/>
    <cacheHierarchy uniqueName="[Measures].[NO OF BRANCHES]" caption="NO OF BRANCHES" measure="1" displayFolder="" measureGroup="Table1" count="0"/>
    <cacheHierarchy uniqueName="[Measures].[CATEGORY COUNT]" caption="CATEGORY COUNT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AI" refreshedDate="46148.611425347219" createdVersion="8" refreshedVersion="8" minRefreshableVersion="3" recordCount="186" xr:uid="{FFBDB0B1-32AD-4E3A-A8AD-E3333ADF0D9C}">
  <cacheSource type="worksheet">
    <worksheetSource ref="A1:N187" sheet="NOTIFICATION DATE"/>
  </cacheSource>
  <cacheFields count="14">
    <cacheField name="S.No." numFmtId="0">
      <sharedItems containsSemiMixedTypes="0" containsString="0" containsNumber="1" containsInteger="1" minValue="1" maxValue="186"/>
    </cacheField>
    <cacheField name="Region Wise S. No." numFmtId="0">
      <sharedItems containsSemiMixedTypes="0" containsString="0" containsNumber="1" containsInteger="1" minValue="1" maxValue="62"/>
    </cacheField>
    <cacheField name="Region" numFmtId="0">
      <sharedItems/>
    </cacheField>
    <cacheField name="Name Of The Branch" numFmtId="0">
      <sharedItems count="186">
        <s v="AHMEDABAD"/>
        <s v="PUNE"/>
        <s v="BARODA / VADODARA "/>
        <s v="SURAT"/>
        <s v="GOA"/>
        <s v="RAJKOT"/>
        <s v="NAGPUR"/>
        <s v="KOLHAPUR"/>
        <s v="NASHIK"/>
        <s v="SOLAPUR"/>
        <s v="AURANGABAD / CHHATRAPATI SAMBHAJINAGAR"/>
        <s v="ANAND"/>
        <s v="JALGAON"/>
        <s v="SANGLI"/>
        <s v="JAMNAGAR"/>
        <s v="AHMEDNAGAR / AHILYANAGAR"/>
        <s v="AKOLA"/>
        <s v="THANE"/>
        <s v="VASAI"/>
        <s v="NAVI MUMBAI"/>
        <s v="BHARUCH"/>
        <s v="AMRAVATI"/>
        <s v="PIMPRI CHINCHWAD"/>
        <s v="VAPI"/>
        <s v="GANDHIDHAM"/>
        <s v="BHAVNAGAR"/>
        <s v="LATUR"/>
        <s v="SATARA"/>
        <s v="NAVSARI"/>
        <s v="NANDED"/>
        <s v="DHULE"/>
        <s v="BHUJ"/>
        <s v="KALYAN DOMBIVLI"/>
        <s v="RATANAGIRI"/>
        <s v="ICHALKARANJI"/>
        <s v="GANDHINAGAR"/>
        <s v="GONDIA"/>
        <s v="MORBI"/>
        <s v="BANGALORE / BENGALURU"/>
        <s v="COIMBATORE"/>
        <s v="HYDERABAD"/>
        <s v="MADURAI"/>
        <s v="ERNAKULAM"/>
        <s v="MANGALORE / MANGALURU"/>
        <s v="SALEM"/>
        <s v="TIRUCHIRAPALLI"/>
        <s v="VIJAYAWADA"/>
        <s v="TRIVANDRUM / THIRUVANANTHAPURAM"/>
        <s v="BELGAUM / BELAGAVI"/>
        <s v="VISAKHAPATNAM"/>
        <s v="KUMBAKONAM"/>
        <s v="TIRUNELVELI"/>
        <s v="KOTTAYAM"/>
        <s v="TRICHUR / THRISSUR"/>
        <s v="ALLEPPEY / ALAPPUZHA"/>
        <s v="GUNTUR"/>
        <s v="CALICUT/ KOZHIKODE "/>
        <s v="MYSORE / MYSURU"/>
        <s v="ERODE"/>
        <s v="HUBLI / HUBBALLI"/>
        <s v="PONDICHERRY / PUDUCHERRY"/>
        <s v="QUILON / KOLLAM"/>
        <s v="VELLORE"/>
        <s v="PALGHAT / PALAKKAD"/>
        <s v="TIRUPUR"/>
        <s v="TUTICORIN / THOOTHUKUDI"/>
        <s v="UDUPI"/>
        <s v="RAJAMAHENDRAVARAM"/>
        <s v="BELLARY / BALLARI"/>
        <s v="KAKINADA"/>
        <s v="NELLORE"/>
        <s v="TIRUPATHI"/>
        <s v="SIVAKASI"/>
        <s v="KANNUR"/>
        <s v="KARIMNAGAR"/>
        <s v="WARANGAL"/>
        <s v="ONGOLE"/>
        <s v="KURNOOL"/>
        <s v="ANANTAPUR"/>
        <s v="KALABURAGI"/>
        <s v="KANCHIPURAM / CHENGALPATTU"/>
        <s v="WEST GODAVARI"/>
        <s v="KADAPA"/>
        <s v="VIZIANAGARAM"/>
        <s v="KHAMMAM"/>
        <s v="NIZAMABAD"/>
        <s v="ASANSOL"/>
        <s v="GUWAHATI"/>
        <s v="BHUBANESWAR"/>
        <s v="CUTTACK"/>
        <s v="DURGAPUR"/>
        <s v="SILIGURI"/>
        <s v="ROURKELA"/>
        <s v="SAMBALPUR"/>
        <s v="DIBRUGARH"/>
        <s v="TINSUKIA"/>
        <s v="RANIGANJ"/>
        <s v="JHARSUGUDA"/>
        <s v="BRAHMAPUR"/>
        <s v="JAIPUR"/>
        <s v="INDORE"/>
        <s v="JAMSHEDPUR"/>
        <s v="GHAZIABAD"/>
        <s v="JODHPUR"/>
        <s v="AGRA"/>
        <s v="LUCKNOW"/>
        <s v="BHOPAL"/>
        <s v="RAIPUR"/>
        <s v="PATNA"/>
        <s v="UDAIPUR"/>
        <s v="ALLAHABAD / PRAYAGRAJ"/>
        <s v="KOTA"/>
        <s v="MEERUT"/>
        <s v="RANCHI"/>
        <s v="GWALIOR"/>
        <s v="BHILWARA"/>
        <s v="DEHRADUN"/>
        <s v="BAREILLY"/>
        <s v="VARANASI"/>
        <s v="ALWAR"/>
        <s v="DHANBAD"/>
        <s v="AJMER"/>
        <s v="NOIDA / GAUTAM BUDH NAGAR"/>
        <s v="MATHURA"/>
        <s v="MORADABAD"/>
        <s v="MUZAFFARNAGAR"/>
        <s v="SAHARANPUR"/>
        <s v="BHILAI"/>
        <s v="JABALPUR"/>
        <s v="UJJAIN"/>
        <s v="BIKANER"/>
        <s v="GORAKHPUR"/>
        <s v="BILASPUR"/>
        <s v="ALIGARH"/>
        <s v="BEAWAR"/>
        <s v="PALI"/>
        <s v="RATLAM"/>
        <s v="SRIGANGANAGAR"/>
        <s v="KISHANGARH"/>
        <s v="JHANSI"/>
        <s v="CHITTORGARH"/>
        <s v="SIKAR"/>
        <s v="BHARATPUR"/>
        <s v="HARIDWAR"/>
        <s v="HALDWANI"/>
        <s v="BULANDSHAHR"/>
        <s v="BHAGALPUR"/>
        <s v="HANUMANGARH"/>
        <s v="SATNA"/>
        <s v="RAJSAMAND"/>
        <s v="MANDSAUR"/>
        <s v="DARBHANGA"/>
        <s v="MUZAFFARPUR"/>
        <s v="NEEMUCH"/>
        <s v="RAIGARH"/>
        <s v="TONK"/>
        <s v="CHURU"/>
        <s v="JHUNJHUNU"/>
        <s v="NAGAUR"/>
        <s v="BHIWADI"/>
        <s v="KORBA"/>
        <s v="CHANDIGARH"/>
        <s v="LUDHIANA"/>
        <s v="AMRITSAR"/>
        <s v="FARIDABAD"/>
        <s v="JALANDHAR"/>
        <s v="YAMUNANAGAR"/>
        <s v="JAMMU &amp; KASHMIR"/>
        <s v="HIMACHAL PRADESH (SHIMLA)"/>
        <s v="HISAR"/>
        <s v="ROHTAK"/>
        <s v="GURGAON / GURUGRAM"/>
        <s v="PANIPAT"/>
        <s v="PATIALA"/>
        <s v="AMBALA"/>
        <s v="BHATINDA"/>
        <s v="SONEPAT"/>
        <s v="KARNAL"/>
        <s v="SANGRUR"/>
        <s v="REWARI"/>
        <s v="SIRSA"/>
        <s v="BAHADURGARH"/>
        <s v="BHIWANI"/>
        <s v="KAITHAL"/>
        <s v="KURUKSHETRA"/>
        <s v="MANDI GOBINDGARH"/>
      </sharedItems>
    </cacheField>
    <cacheField name="Regulation" numFmtId="0">
      <sharedItems/>
    </cacheField>
    <cacheField name="Date From Which Set Up " numFmtId="14">
      <sharedItems containsSemiMixedTypes="0" containsNonDate="0" containsDate="1" containsString="0" minDate="1962-04-01T00:00:00" maxDate="2026-02-07T00:00:00" count="107">
        <d v="1962-04-01T00:00:00"/>
        <d v="1967-11-05T00:00:00"/>
        <d v="1971-08-18T00:00:00"/>
        <d v="1974-05-15T00:00:00"/>
        <d v="1977-12-24T00:00:00"/>
        <d v="1978-04-21T00:00:00"/>
        <d v="1981-07-21T00:00:00"/>
        <d v="1985-07-12T00:00:00"/>
        <d v="1985-12-21T00:00:00"/>
        <d v="1986-04-03T00:00:00"/>
        <d v="1987-04-30T00:00:00"/>
        <d v="2002-03-11T00:00:00"/>
        <d v="2002-09-14T00:00:00"/>
        <d v="2003-09-18T00:00:00"/>
        <d v="2005-01-22T00:00:00"/>
        <d v="2005-12-01T00:00:00"/>
        <d v="2006-09-08T00:00:00"/>
        <d v="2008-03-27T00:00:00"/>
        <d v="2009-07-09T00:00:00"/>
        <d v="2009-12-16T00:00:00"/>
        <d v="2010-01-13T00:00:00"/>
        <d v="2010-07-01T00:00:00"/>
        <d v="2013-03-26T00:00:00"/>
        <d v="2013-06-01T00:00:00"/>
        <d v="2015-07-30T00:00:00"/>
        <d v="2016-01-17T00:00:00"/>
        <d v="2016-07-01T00:00:00"/>
        <d v="2023-03-23T00:00:00"/>
        <d v="2025-08-13T00:00:00"/>
        <d v="2025-10-08T00:00:00"/>
        <d v="1967-12-01T00:00:00"/>
        <d v="1972-01-25T00:00:00"/>
        <d v="1974-06-10T00:00:00"/>
        <d v="1977-04-23T00:00:00"/>
        <d v="1980-04-02T00:00:00"/>
        <d v="1980-09-15T00:00:00"/>
        <d v="1981-04-29T00:00:00"/>
        <d v="1981-09-17T00:00:00"/>
        <d v="1981-12-23T00:00:00"/>
        <d v="1982-03-05T00:00:00"/>
        <d v="1982-07-24T00:00:00"/>
        <d v="1985-09-16T00:00:00"/>
        <d v="1987-07-18T00:00:00"/>
        <d v="1987-08-13T00:00:00"/>
        <d v="1987-12-31T00:00:00"/>
        <d v="1989-06-03T00:00:00"/>
        <d v="1990-10-01T00:00:00"/>
        <d v="2001-05-01T00:00:00"/>
        <d v="2006-05-05T00:00:00"/>
        <d v="2006-12-22T00:00:00"/>
        <d v="2011-11-09T00:00:00"/>
        <d v="2011-12-27T00:00:00"/>
        <d v="2014-01-03T00:00:00"/>
        <d v="2014-02-10T00:00:00"/>
        <d v="2014-03-22T00:00:00"/>
        <d v="2015-02-10T00:00:00"/>
        <d v="2015-08-14T00:00:00"/>
        <d v="2017-02-08T00:00:00"/>
        <d v="2024-08-14T00:00:00"/>
        <d v="2025-05-27T00:00:00"/>
        <d v="1974-09-10T00:00:00"/>
        <d v="1977-09-16T00:00:00"/>
        <d v="1979-09-16T00:00:00"/>
        <d v="1989-12-20T00:00:00"/>
        <d v="1990-03-08T00:00:00"/>
        <d v="1998-12-15T00:00:00"/>
        <d v="2016-08-10T00:00:00"/>
        <d v="2016-09-17T00:00:00"/>
        <d v="1970-04-01T00:00:00"/>
        <d v="1975-07-08T00:00:00"/>
        <d v="1976-09-16T00:00:00"/>
        <d v="1980-07-16T00:00:00"/>
        <d v="1980-12-16T00:00:00"/>
        <d v="1981-04-08T00:00:00"/>
        <d v="1982-09-13T00:00:00"/>
        <d v="1984-01-20T00:00:00"/>
        <d v="1987-02-14T00:00:00"/>
        <d v="1987-09-17T00:00:00"/>
        <d v="1988-04-30T00:00:00"/>
        <d v="1988-08-10T00:00:00"/>
        <d v="1988-12-17T00:00:00"/>
        <d v="1989-03-11T00:00:00"/>
        <d v="1991-01-18T00:00:00"/>
        <d v="1998-06-01T00:00:00"/>
        <d v="1998-10-26T00:00:00"/>
        <d v="2000-03-27T00:00:00"/>
        <d v="2004-04-18T00:00:00"/>
        <d v="2004-07-23T00:00:00"/>
        <d v="2005-07-08T00:00:00"/>
        <d v="2007-12-22T00:00:00"/>
        <d v="2008-10-05T00:00:00"/>
        <d v="2018-03-22T00:00:00"/>
        <d v="2022-05-19T00:00:00"/>
        <d v="2022-05-20T00:00:00"/>
        <d v="2023-01-18T00:00:00"/>
        <d v="2023-08-14T00:00:00"/>
        <d v="2024-01-03T00:00:00"/>
        <d v="2024-02-07T00:00:00"/>
        <d v="2024-04-25T00:00:00"/>
        <d v="2025-07-01T00:00:00"/>
        <d v="2026-02-06T00:00:00"/>
        <d v="1973-12-01T00:00:00"/>
        <d v="1978-09-16T00:00:00"/>
        <d v="1999-02-28T00:00:00"/>
        <d v="1999-04-11T00:00:00"/>
        <d v="2004-03-10T00:00:00"/>
        <d v="2006-11-07T00:00:00"/>
      </sharedItems>
    </cacheField>
    <cacheField name="Notificatin No." numFmtId="0">
      <sharedItems/>
    </cacheField>
    <cacheField name="Notification Date" numFmtId="14">
      <sharedItems containsSemiMixedTypes="0" containsNonDate="0" containsDate="1" containsString="0" minDate="1962-03-19T00:00:00" maxDate="2026-02-25T00:00:00"/>
    </cacheField>
    <cacheField name="State" numFmtId="0">
      <sharedItems/>
    </cacheField>
    <cacheField name="Ac Branch" numFmtId="0">
      <sharedItems/>
    </cacheField>
    <cacheField name="Total Year" numFmtId="0">
      <sharedItems containsSemiMixedTypes="0" containsString="0" containsNumber="1" containsInteger="1" minValue="0" maxValue="64" count="44">
        <n v="64"/>
        <n v="58"/>
        <n v="54"/>
        <n v="51"/>
        <n v="48"/>
        <n v="47"/>
        <n v="44"/>
        <n v="40"/>
        <n v="39"/>
        <n v="38"/>
        <n v="24"/>
        <n v="23"/>
        <n v="22"/>
        <n v="21"/>
        <n v="20"/>
        <n v="19"/>
        <n v="18"/>
        <n v="16"/>
        <n v="15"/>
        <n v="13"/>
        <n v="12"/>
        <n v="10"/>
        <n v="9"/>
        <n v="3"/>
        <n v="0"/>
        <n v="45"/>
        <n v="43"/>
        <n v="36"/>
        <n v="35"/>
        <n v="14"/>
        <n v="11"/>
        <n v="1"/>
        <n v="46"/>
        <n v="27"/>
        <n v="56"/>
        <n v="50"/>
        <n v="49"/>
        <n v="42"/>
        <n v="37"/>
        <n v="26"/>
        <n v="17"/>
        <n v="8"/>
        <n v="2"/>
        <n v="52"/>
      </sharedItems>
    </cacheField>
    <cacheField name="Group by 25" numFmtId="0">
      <sharedItems count="3">
        <s v="Greater Than 50"/>
        <s v="Greater Than 25"/>
        <s v="Greater Than 0"/>
      </sharedItems>
    </cacheField>
    <cacheField name="Category" numFmtId="0">
      <sharedItems count="5">
        <s v="Mega"/>
        <s v="Large"/>
        <s v="Small"/>
        <s v="Medium"/>
        <s v="Micro"/>
      </sharedItems>
    </cacheField>
    <cacheField name="New Branch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AI" refreshedDate="46148.645091319442" createdVersion="8" refreshedVersion="8" minRefreshableVersion="3" recordCount="186" xr:uid="{510E572F-6B9F-435F-AA13-37B991F77B31}">
  <cacheSource type="worksheet">
    <worksheetSource ref="A1:P187" sheet="NOTIFICATION DATE"/>
  </cacheSource>
  <cacheFields count="16">
    <cacheField name="S.No." numFmtId="0">
      <sharedItems containsSemiMixedTypes="0" containsString="0" containsNumber="1" containsInteger="1" minValue="1" maxValue="186"/>
    </cacheField>
    <cacheField name="Region Wise S. No." numFmtId="0">
      <sharedItems containsSemiMixedTypes="0" containsString="0" containsNumber="1" containsInteger="1" minValue="1" maxValue="62"/>
    </cacheField>
    <cacheField name="Region" numFmtId="0">
      <sharedItems/>
    </cacheField>
    <cacheField name="Name Of The Branch" numFmtId="0">
      <sharedItems count="186">
        <s v="AHMEDABAD"/>
        <s v="PUNE"/>
        <s v="BARODA / VADODARA "/>
        <s v="SURAT"/>
        <s v="GOA"/>
        <s v="RAJKOT"/>
        <s v="NAGPUR"/>
        <s v="KOLHAPUR"/>
        <s v="NASHIK"/>
        <s v="SOLAPUR"/>
        <s v="AURANGABAD / CHHATRAPATI SAMBHAJINAGAR"/>
        <s v="ANAND"/>
        <s v="JALGAON"/>
        <s v="SANGLI"/>
        <s v="JAMNAGAR"/>
        <s v="AHMEDNAGAR / AHILYANAGAR"/>
        <s v="AKOLA"/>
        <s v="THANE"/>
        <s v="VASAI"/>
        <s v="NAVI MUMBAI"/>
        <s v="BHARUCH"/>
        <s v="AMRAVATI"/>
        <s v="PIMPRI CHINCHWAD"/>
        <s v="VAPI"/>
        <s v="GANDHIDHAM"/>
        <s v="BHAVNAGAR"/>
        <s v="LATUR"/>
        <s v="SATARA"/>
        <s v="NAVSARI"/>
        <s v="NANDED"/>
        <s v="DHULE"/>
        <s v="BHUJ"/>
        <s v="KALYAN DOMBIVLI"/>
        <s v="RATANAGIRI"/>
        <s v="ICHALKARANJI"/>
        <s v="GANDHINAGAR"/>
        <s v="GONDIA"/>
        <s v="MORBI"/>
        <s v="BANGALORE / BENGALURU"/>
        <s v="COIMBATORE"/>
        <s v="HYDERABAD"/>
        <s v="MADURAI"/>
        <s v="ERNAKULAM"/>
        <s v="MANGALORE / MANGALURU"/>
        <s v="SALEM"/>
        <s v="TIRUCHIRAPALLI"/>
        <s v="VIJAYAWADA"/>
        <s v="TRIVANDRUM / THIRUVANANTHAPURAM"/>
        <s v="BELGAUM / BELAGAVI"/>
        <s v="VISAKHAPATNAM"/>
        <s v="KUMBAKONAM"/>
        <s v="TIRUNELVELI"/>
        <s v="KOTTAYAM"/>
        <s v="TRICHUR / THRISSUR"/>
        <s v="ALLEPPEY / ALAPPUZHA"/>
        <s v="GUNTUR"/>
        <s v="CALICUT/ KOZHIKODE "/>
        <s v="MYSORE / MYSURU"/>
        <s v="ERODE"/>
        <s v="HUBLI / HUBBALLI"/>
        <s v="PONDICHERRY / PUDUCHERRY"/>
        <s v="QUILON / KOLLAM"/>
        <s v="VELLORE"/>
        <s v="PALGHAT / PALAKKAD"/>
        <s v="TIRUPUR"/>
        <s v="TUTICORIN / THOOTHUKUDI"/>
        <s v="UDUPI"/>
        <s v="RAJAMAHENDRAVARAM"/>
        <s v="BELLARY / BALLARI"/>
        <s v="KAKINADA"/>
        <s v="NELLORE"/>
        <s v="TIRUPATHI"/>
        <s v="SIVAKASI"/>
        <s v="KANNUR"/>
        <s v="KARIMNAGAR"/>
        <s v="WARANGAL"/>
        <s v="ONGOLE"/>
        <s v="KURNOOL"/>
        <s v="ANANTAPUR"/>
        <s v="KALABURAGI"/>
        <s v="KANCHIPURAM / CHENGALPATTU"/>
        <s v="WEST GODAVARI"/>
        <s v="KADAPA"/>
        <s v="VIZIANAGARAM"/>
        <s v="KHAMMAM"/>
        <s v="NIZAMABAD"/>
        <s v="ASANSOL"/>
        <s v="GUWAHATI"/>
        <s v="BHUBANESWAR"/>
        <s v="CUTTACK"/>
        <s v="DURGAPUR"/>
        <s v="SILIGURI"/>
        <s v="ROURKELA"/>
        <s v="SAMBALPUR"/>
        <s v="DIBRUGARH"/>
        <s v="TINSUKIA"/>
        <s v="RANIGANJ"/>
        <s v="JHARSUGUDA"/>
        <s v="BRAHMAPUR"/>
        <s v="JAIPUR"/>
        <s v="INDORE"/>
        <s v="JAMSHEDPUR"/>
        <s v="GHAZIABAD"/>
        <s v="JODHPUR"/>
        <s v="AGRA"/>
        <s v="LUCKNOW"/>
        <s v="BHOPAL"/>
        <s v="RAIPUR"/>
        <s v="PATNA"/>
        <s v="UDAIPUR"/>
        <s v="ALLAHABAD / PRAYAGRAJ"/>
        <s v="KOTA"/>
        <s v="MEERUT"/>
        <s v="RANCHI"/>
        <s v="GWALIOR"/>
        <s v="BHILWARA"/>
        <s v="DEHRADUN"/>
        <s v="BAREILLY"/>
        <s v="VARANASI"/>
        <s v="ALWAR"/>
        <s v="DHANBAD"/>
        <s v="AJMER"/>
        <s v="NOIDA / GAUTAM BUDH NAGAR"/>
        <s v="MATHURA"/>
        <s v="MORADABAD"/>
        <s v="MUZAFFARNAGAR"/>
        <s v="SAHARANPUR"/>
        <s v="BHILAI"/>
        <s v="JABALPUR"/>
        <s v="UJJAIN"/>
        <s v="BIKANER"/>
        <s v="GORAKHPUR"/>
        <s v="BILASPUR"/>
        <s v="ALIGARH"/>
        <s v="BEAWAR"/>
        <s v="PALI"/>
        <s v="RATLAM"/>
        <s v="SRIGANGANAGAR"/>
        <s v="KISHANGARH"/>
        <s v="JHANSI"/>
        <s v="CHITTORGARH"/>
        <s v="SIKAR"/>
        <s v="BHARATPUR"/>
        <s v="HARIDWAR"/>
        <s v="HALDWANI"/>
        <s v="BULANDSHAHR"/>
        <s v="BHAGALPUR"/>
        <s v="HANUMANGARH"/>
        <s v="SATNA"/>
        <s v="RAJSAMAND"/>
        <s v="MANDSAUR"/>
        <s v="DARBHANGA"/>
        <s v="MUZAFFARPUR"/>
        <s v="NEEMUCH"/>
        <s v="RAIGARH"/>
        <s v="TONK"/>
        <s v="CHURU"/>
        <s v="JHUNJHUNU"/>
        <s v="NAGAUR"/>
        <s v="BHIWADI"/>
        <s v="KORBA"/>
        <s v="CHANDIGARH"/>
        <s v="LUDHIANA"/>
        <s v="AMRITSAR"/>
        <s v="FARIDABAD"/>
        <s v="JALANDHAR"/>
        <s v="YAMUNANAGAR"/>
        <s v="JAMMU &amp; KASHMIR"/>
        <s v="HIMACHAL PRADESH (SHIMLA)"/>
        <s v="HISAR"/>
        <s v="ROHTAK"/>
        <s v="GURGAON / GURUGRAM"/>
        <s v="PANIPAT"/>
        <s v="PATIALA"/>
        <s v="AMBALA"/>
        <s v="BHATINDA"/>
        <s v="SONEPAT"/>
        <s v="KARNAL"/>
        <s v="SANGRUR"/>
        <s v="REWARI"/>
        <s v="SIRSA"/>
        <s v="BAHADURGARH"/>
        <s v="BHIWANI"/>
        <s v="KAITHAL"/>
        <s v="KURUKSHETRA"/>
        <s v="MANDI GOBINDGARH"/>
      </sharedItems>
    </cacheField>
    <cacheField name="Regulation" numFmtId="0">
      <sharedItems/>
    </cacheField>
    <cacheField name="Date From Which Set Up " numFmtId="14">
      <sharedItems containsSemiMixedTypes="0" containsNonDate="0" containsDate="1" containsString="0" minDate="1962-04-01T00:00:00" maxDate="2026-02-07T00:00:00" count="107">
        <d v="1962-04-01T00:00:00"/>
        <d v="1967-11-05T00:00:00"/>
        <d v="1971-08-18T00:00:00"/>
        <d v="1974-05-15T00:00:00"/>
        <d v="1977-12-24T00:00:00"/>
        <d v="1978-04-21T00:00:00"/>
        <d v="1981-07-21T00:00:00"/>
        <d v="1985-07-12T00:00:00"/>
        <d v="1985-12-21T00:00:00"/>
        <d v="1986-04-03T00:00:00"/>
        <d v="1987-04-30T00:00:00"/>
        <d v="2002-03-11T00:00:00"/>
        <d v="2002-09-14T00:00:00"/>
        <d v="2003-09-18T00:00:00"/>
        <d v="2005-01-22T00:00:00"/>
        <d v="2005-12-01T00:00:00"/>
        <d v="2006-09-08T00:00:00"/>
        <d v="2008-03-27T00:00:00"/>
        <d v="2009-07-09T00:00:00"/>
        <d v="2009-12-16T00:00:00"/>
        <d v="2010-01-13T00:00:00"/>
        <d v="2010-07-01T00:00:00"/>
        <d v="2013-03-26T00:00:00"/>
        <d v="2013-06-01T00:00:00"/>
        <d v="2015-07-30T00:00:00"/>
        <d v="2016-01-17T00:00:00"/>
        <d v="2016-07-01T00:00:00"/>
        <d v="2023-03-23T00:00:00"/>
        <d v="2025-08-13T00:00:00"/>
        <d v="2025-10-08T00:00:00"/>
        <d v="1967-12-01T00:00:00"/>
        <d v="1972-01-25T00:00:00"/>
        <d v="1974-06-10T00:00:00"/>
        <d v="1977-04-23T00:00:00"/>
        <d v="1980-04-02T00:00:00"/>
        <d v="1980-09-15T00:00:00"/>
        <d v="1981-04-29T00:00:00"/>
        <d v="1981-09-17T00:00:00"/>
        <d v="1981-12-23T00:00:00"/>
        <d v="1982-03-05T00:00:00"/>
        <d v="1982-07-24T00:00:00"/>
        <d v="1985-09-16T00:00:00"/>
        <d v="1987-07-18T00:00:00"/>
        <d v="1987-08-13T00:00:00"/>
        <d v="1987-12-31T00:00:00"/>
        <d v="1989-06-03T00:00:00"/>
        <d v="1990-10-01T00:00:00"/>
        <d v="2001-05-01T00:00:00"/>
        <d v="2006-05-05T00:00:00"/>
        <d v="2006-12-22T00:00:00"/>
        <d v="2011-11-09T00:00:00"/>
        <d v="2011-12-27T00:00:00"/>
        <d v="2014-01-03T00:00:00"/>
        <d v="2014-02-10T00:00:00"/>
        <d v="2014-03-22T00:00:00"/>
        <d v="2015-02-10T00:00:00"/>
        <d v="2015-08-14T00:00:00"/>
        <d v="2017-02-08T00:00:00"/>
        <d v="2024-08-14T00:00:00"/>
        <d v="2025-05-27T00:00:00"/>
        <d v="1974-09-10T00:00:00"/>
        <d v="1977-09-16T00:00:00"/>
        <d v="1979-09-16T00:00:00"/>
        <d v="1989-12-20T00:00:00"/>
        <d v="1990-03-08T00:00:00"/>
        <d v="1998-12-15T00:00:00"/>
        <d v="2016-08-10T00:00:00"/>
        <d v="2016-09-17T00:00:00"/>
        <d v="1970-04-01T00:00:00"/>
        <d v="1975-07-08T00:00:00"/>
        <d v="1976-09-16T00:00:00"/>
        <d v="1980-07-16T00:00:00"/>
        <d v="1980-12-16T00:00:00"/>
        <d v="1981-04-08T00:00:00"/>
        <d v="1982-09-13T00:00:00"/>
        <d v="1984-01-20T00:00:00"/>
        <d v="1987-02-14T00:00:00"/>
        <d v="1987-09-17T00:00:00"/>
        <d v="1988-04-30T00:00:00"/>
        <d v="1988-08-10T00:00:00"/>
        <d v="1988-12-17T00:00:00"/>
        <d v="1989-03-11T00:00:00"/>
        <d v="1991-01-18T00:00:00"/>
        <d v="1998-06-01T00:00:00"/>
        <d v="1998-10-26T00:00:00"/>
        <d v="2000-03-27T00:00:00"/>
        <d v="2004-04-18T00:00:00"/>
        <d v="2004-07-23T00:00:00"/>
        <d v="2005-07-08T00:00:00"/>
        <d v="2007-12-22T00:00:00"/>
        <d v="2008-10-05T00:00:00"/>
        <d v="2018-03-22T00:00:00"/>
        <d v="2022-05-19T00:00:00"/>
        <d v="2022-05-20T00:00:00"/>
        <d v="2023-01-18T00:00:00"/>
        <d v="2023-08-14T00:00:00"/>
        <d v="2024-01-03T00:00:00"/>
        <d v="2024-02-07T00:00:00"/>
        <d v="2024-04-25T00:00:00"/>
        <d v="2025-07-01T00:00:00"/>
        <d v="2026-02-06T00:00:00"/>
        <d v="1973-12-01T00:00:00"/>
        <d v="1978-09-16T00:00:00"/>
        <d v="1999-02-28T00:00:00"/>
        <d v="1999-04-11T00:00:00"/>
        <d v="2004-03-10T00:00:00"/>
        <d v="2006-11-07T00:00:00"/>
      </sharedItems>
    </cacheField>
    <cacheField name="Notificatin No." numFmtId="0">
      <sharedItems/>
    </cacheField>
    <cacheField name="Notification Date" numFmtId="14">
      <sharedItems containsSemiMixedTypes="0" containsNonDate="0" containsDate="1" containsString="0" minDate="1962-03-19T00:00:00" maxDate="2026-02-25T00:00:00"/>
    </cacheField>
    <cacheField name="State" numFmtId="0">
      <sharedItems/>
    </cacheField>
    <cacheField name="Ac Branch" numFmtId="0">
      <sharedItems/>
    </cacheField>
    <cacheField name="Total Year" numFmtId="0">
      <sharedItems containsSemiMixedTypes="0" containsString="0" containsNumber="1" containsInteger="1" minValue="1" maxValue="64" count="44">
        <n v="64"/>
        <n v="59"/>
        <n v="55"/>
        <n v="52"/>
        <n v="49"/>
        <n v="48"/>
        <n v="45"/>
        <n v="41"/>
        <n v="40"/>
        <n v="39"/>
        <n v="25"/>
        <n v="24"/>
        <n v="23"/>
        <n v="22"/>
        <n v="21"/>
        <n v="20"/>
        <n v="19"/>
        <n v="17"/>
        <n v="16"/>
        <n v="14"/>
        <n v="13"/>
        <n v="11"/>
        <n v="10"/>
        <n v="4"/>
        <n v="1"/>
        <n v="46"/>
        <n v="44"/>
        <n v="37"/>
        <n v="36"/>
        <n v="15"/>
        <n v="12"/>
        <n v="2"/>
        <n v="47"/>
        <n v="28"/>
        <n v="56"/>
        <n v="51"/>
        <n v="50"/>
        <n v="43"/>
        <n v="38"/>
        <n v="27"/>
        <n v="18"/>
        <n v="9"/>
        <n v="3"/>
        <n v="53"/>
      </sharedItems>
    </cacheField>
    <cacheField name="Group by 25" numFmtId="0">
      <sharedItems count="3">
        <s v="Greater Than 50"/>
        <s v="Greater Than 25"/>
        <s v="Greater Than 0"/>
      </sharedItems>
    </cacheField>
    <cacheField name="Category" numFmtId="0">
      <sharedItems count="5">
        <s v="Mega"/>
        <s v="Large"/>
        <s v="Small"/>
        <s v="Medium"/>
        <s v="Micro"/>
      </sharedItems>
    </cacheField>
    <cacheField name="New Branches" numFmtId="0">
      <sharedItems containsBlank="1"/>
    </cacheField>
    <cacheField name="A" numFmtId="0">
      <sharedItems containsSemiMixedTypes="0" containsString="0" containsNumber="1" minValue="0.04" maxValue="2.56"/>
    </cacheField>
    <cacheField name="AA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x v="0"/>
    <x v="0"/>
    <s v="Uttar Pradesh"/>
    <s v="RC"/>
    <s v="YES"/>
    <n v="14374"/>
    <n v="69857"/>
    <s v="Owned"/>
    <m/>
    <x v="0"/>
    <x v="0"/>
  </r>
  <r>
    <x v="0"/>
    <x v="1"/>
    <s v="Uttar Pradesh"/>
    <s v="Branch"/>
    <s v="YES"/>
    <n v="1880"/>
    <n v="5012"/>
    <s v="Owned"/>
    <d v="1980-07-16T00:00:00"/>
    <x v="1"/>
    <x v="1"/>
  </r>
  <r>
    <x v="0"/>
    <x v="2"/>
    <s v="Rajasthan"/>
    <s v="Branch"/>
    <s v="YES"/>
    <n v="881"/>
    <n v="1870"/>
    <s v="Owned"/>
    <d v="1990-10-01T00:00:00"/>
    <x v="2"/>
    <x v="2"/>
  </r>
  <r>
    <x v="0"/>
    <x v="3"/>
    <s v="Uttar Pradesh"/>
    <s v="Branch"/>
    <s v="YES"/>
    <n v="418"/>
    <n v="1947"/>
    <s v="Rented"/>
    <d v="2007-12-22T00:00:00"/>
    <x v="3"/>
    <x v="3"/>
  </r>
  <r>
    <x v="0"/>
    <x v="4"/>
    <s v="Uttar Pradesh"/>
    <s v="Branch"/>
    <s v="YES"/>
    <n v="608"/>
    <n v="3395"/>
    <s v="Owned"/>
    <d v="1985-07-12T00:00:00"/>
    <x v="2"/>
    <x v="2"/>
  </r>
  <r>
    <x v="0"/>
    <x v="5"/>
    <s v="Rajasthan"/>
    <s v="Branch"/>
    <s v="YES"/>
    <n v="886"/>
    <n v="1896"/>
    <s v="Owned"/>
    <d v="1989-03-11T00:00:00"/>
    <x v="2"/>
    <x v="2"/>
  </r>
  <r>
    <x v="0"/>
    <x v="6"/>
    <s v="Uttar Pradesh"/>
    <s v="Branch"/>
    <s v="YES"/>
    <n v="638"/>
    <n v="1816"/>
    <s v="Owned"/>
    <d v="1988-08-10T00:00:00"/>
    <x v="2"/>
    <x v="2"/>
  </r>
  <r>
    <x v="0"/>
    <x v="7"/>
    <s v="Rajasthan"/>
    <s v="Branch"/>
    <s v="YES"/>
    <n v="609"/>
    <n v="1321"/>
    <s v="Owned"/>
    <d v="2008-10-05T00:00:00"/>
    <x v="2"/>
    <x v="2"/>
  </r>
  <r>
    <x v="0"/>
    <x v="8"/>
    <s v="Rajasthan"/>
    <s v="Branch"/>
    <s v="YES"/>
    <n v="314"/>
    <n v="619"/>
    <s v="Rented"/>
    <d v="2014-02-10T00:00:00"/>
    <x v="3"/>
    <x v="3"/>
  </r>
  <r>
    <x v="0"/>
    <x v="9"/>
    <s v="Chattisgarh"/>
    <s v="Branch"/>
    <s v="YES"/>
    <n v="836"/>
    <n v="3239"/>
    <s v="Owned"/>
    <d v="2001-05-01T00:00:00"/>
    <x v="2"/>
    <x v="2"/>
  </r>
  <r>
    <x v="0"/>
    <x v="10"/>
    <s v="Rajasthan"/>
    <s v="Branch"/>
    <s v="YES"/>
    <n v="1710"/>
    <n v="3633"/>
    <s v="Owned"/>
    <d v="1987-12-31T00:00:00"/>
    <x v="1"/>
    <x v="1"/>
  </r>
  <r>
    <x v="0"/>
    <x v="11"/>
    <s v="Madhya Pradesh"/>
    <s v="Branch"/>
    <s v="YES"/>
    <n v="2129"/>
    <n v="5269"/>
    <s v="Owned"/>
    <d v="1980-12-16T00:00:00"/>
    <x v="1"/>
    <x v="1"/>
  </r>
  <r>
    <x v="0"/>
    <x v="12"/>
    <s v="Rajasthan"/>
    <s v="Branch"/>
    <s v="YES"/>
    <n v="890"/>
    <n v="2469"/>
    <s v="Owned"/>
    <d v="2005-07-08T00:00:00"/>
    <x v="2"/>
    <x v="2"/>
  </r>
  <r>
    <x v="0"/>
    <x v="13"/>
    <s v="Chattisgarh"/>
    <s v="Branch"/>
    <s v="YES"/>
    <n v="450"/>
    <n v="1765"/>
    <s v="Owned"/>
    <d v="2006-12-22T00:00:00"/>
    <x v="3"/>
    <x v="3"/>
  </r>
  <r>
    <x v="0"/>
    <x v="14"/>
    <s v="Rajasthan"/>
    <s v="Branch"/>
    <s v="YES"/>
    <n v="566"/>
    <n v="1691"/>
    <s v="Rented"/>
    <d v="2013-03-26T00:00:00"/>
    <x v="2"/>
    <x v="2"/>
  </r>
  <r>
    <x v="0"/>
    <x v="15"/>
    <s v="Uttarakhand"/>
    <s v="Branch"/>
    <s v="NO"/>
    <n v="1001"/>
    <n v="2701"/>
    <s v="Owned"/>
    <d v="1988-04-30T00:00:00"/>
    <x v="1"/>
    <x v="1"/>
  </r>
  <r>
    <x v="0"/>
    <x v="16"/>
    <s v="Jharkhand"/>
    <s v="Branch"/>
    <s v="YES"/>
    <n v="640"/>
    <n v="2283"/>
    <s v="Owned"/>
    <d v="1989-12-20T00:00:00"/>
    <x v="2"/>
    <x v="2"/>
  </r>
  <r>
    <x v="0"/>
    <x v="17"/>
    <s v="Uttar Pradesh"/>
    <s v="Branch"/>
    <s v="YES"/>
    <n v="4798"/>
    <n v="11176"/>
    <s v="Owned"/>
    <d v="1975-07-08T00:00:00"/>
    <x v="4"/>
    <x v="4"/>
  </r>
  <r>
    <x v="0"/>
    <x v="18"/>
    <s v="Uttar Pradesh"/>
    <s v="Branch"/>
    <s v="YES"/>
    <n v="601"/>
    <n v="3780"/>
    <s v="Rented"/>
    <d v="2006-09-08T00:00:00"/>
    <x v="2"/>
    <x v="2"/>
  </r>
  <r>
    <x v="0"/>
    <x v="19"/>
    <s v="Madhya Pradesh"/>
    <s v="Branch"/>
    <s v="YES"/>
    <n v="694"/>
    <n v="2169"/>
    <s v="Owned"/>
    <d v="1987-09-17T00:00:00"/>
    <x v="2"/>
    <x v="2"/>
  </r>
  <r>
    <x v="0"/>
    <x v="20"/>
    <s v="Madhya Pradesh"/>
    <s v="Branch"/>
    <s v="YES"/>
    <n v="5259"/>
    <n v="11765"/>
    <s v="Owned"/>
    <d v="1971-08-18T00:00:00"/>
    <x v="5"/>
    <x v="5"/>
  </r>
  <r>
    <x v="0"/>
    <x v="21"/>
    <s v="Madhya Pradesh"/>
    <s v="Branch"/>
    <s v="YES"/>
    <n v="739"/>
    <n v="2432"/>
    <s v="Rented"/>
    <d v="2004-04-18T00:00:00"/>
    <x v="2"/>
    <x v="2"/>
  </r>
  <r>
    <x v="0"/>
    <x v="22"/>
    <s v="Rajasthan"/>
    <s v="Branch"/>
    <s v="YES"/>
    <n v="11687"/>
    <n v="19498"/>
    <s v="Owned"/>
    <d v="1970-04-01T00:00:00"/>
    <x v="5"/>
    <x v="5"/>
  </r>
  <r>
    <x v="0"/>
    <x v="23"/>
    <s v="Jharkhand"/>
    <s v="Branch"/>
    <s v="YES"/>
    <n v="852"/>
    <n v="2820"/>
    <s v="Rented"/>
    <d v="1971-08-18T00:00:00"/>
    <x v="2"/>
    <x v="2"/>
  </r>
  <r>
    <x v="0"/>
    <x v="24"/>
    <s v="Uttar Pradesh"/>
    <s v="Branch"/>
    <s v="YES"/>
    <n v="360"/>
    <n v="1467"/>
    <s v="Rented"/>
    <d v="2013-03-26T00:00:00"/>
    <x v="3"/>
    <x v="3"/>
  </r>
  <r>
    <x v="0"/>
    <x v="25"/>
    <s v="Rajasthan"/>
    <s v="Branch"/>
    <s v="YES"/>
    <n v="2574"/>
    <n v="5208"/>
    <s v="Owned"/>
    <d v="1976-09-16T00:00:00"/>
    <x v="4"/>
    <x v="4"/>
  </r>
  <r>
    <x v="0"/>
    <x v="26"/>
    <s v="Rajasthan"/>
    <s v="Branch"/>
    <s v="YES"/>
    <n v="517"/>
    <n v="1002"/>
    <s v="Owned"/>
    <d v="2013-03-26T00:00:00"/>
    <x v="2"/>
    <x v="2"/>
  </r>
  <r>
    <x v="0"/>
    <x v="27"/>
    <s v="Rajasthan"/>
    <s v="Branch"/>
    <s v="YES"/>
    <n v="1872"/>
    <n v="4094"/>
    <s v="Owned"/>
    <d v="1985-09-16T00:00:00"/>
    <x v="1"/>
    <x v="1"/>
  </r>
  <r>
    <x v="0"/>
    <x v="28"/>
    <s v="Uttar Pradesh"/>
    <s v="Branch"/>
    <s v="YES"/>
    <n v="2620"/>
    <n v="7942"/>
    <s v="Owned"/>
    <d v="1980-07-16T00:00:00"/>
    <x v="4"/>
    <x v="4"/>
  </r>
  <r>
    <x v="0"/>
    <x v="29"/>
    <s v="Uttar Pradesh"/>
    <s v="Branch"/>
    <s v="YES"/>
    <n v="968"/>
    <n v="3406"/>
    <s v="Owned"/>
    <d v="1998-06-01T00:00:00"/>
    <x v="2"/>
    <x v="2"/>
  </r>
  <r>
    <x v="0"/>
    <x v="30"/>
    <s v="Uttar Pradesh"/>
    <s v="Branch"/>
    <s v="YES"/>
    <n v="1319"/>
    <n v="3351"/>
    <s v="Owned"/>
    <d v="1985-12-21T00:00:00"/>
    <x v="1"/>
    <x v="1"/>
  </r>
  <r>
    <x v="0"/>
    <x v="31"/>
    <s v="Uttar Pradesh"/>
    <s v="Branch"/>
    <s v="YES"/>
    <n v="738"/>
    <n v="3215"/>
    <s v="Owned"/>
    <d v="1998-10-26T00:00:00"/>
    <x v="2"/>
    <x v="2"/>
  </r>
  <r>
    <x v="0"/>
    <x v="32"/>
    <s v="Uttar Pradesh"/>
    <s v="Branch"/>
    <s v="YES"/>
    <n v="622"/>
    <n v="2186"/>
    <s v="Owned"/>
    <d v="2000-03-27T00:00:00"/>
    <x v="2"/>
    <x v="2"/>
  </r>
  <r>
    <x v="0"/>
    <x v="33"/>
    <s v="Uttar Pradesh"/>
    <s v="Branch"/>
    <s v="YES"/>
    <n v="4700"/>
    <n v="6325"/>
    <s v="Rented"/>
    <d v="1991-01-18T00:00:00"/>
    <x v="4"/>
    <x v="4"/>
  </r>
  <r>
    <x v="0"/>
    <x v="34"/>
    <s v="Rajasthan"/>
    <s v="Branch"/>
    <s v="YES"/>
    <n v="399"/>
    <n v="1206"/>
    <s v="Owned"/>
    <d v="2010-01-13T00:00:00"/>
    <x v="3"/>
    <x v="3"/>
  </r>
  <r>
    <x v="0"/>
    <x v="35"/>
    <s v="Bihar"/>
    <s v="Branch"/>
    <s v="YES"/>
    <n v="1622"/>
    <n v="9987"/>
    <s v="Owned"/>
    <d v="1982-09-13T00:00:00"/>
    <x v="1"/>
    <x v="1"/>
  </r>
  <r>
    <x v="0"/>
    <x v="36"/>
    <s v="Chattisgarh"/>
    <s v="Branch"/>
    <s v="YES"/>
    <n v="2108"/>
    <n v="5351"/>
    <s v="Owned"/>
    <d v="1981-04-08T00:00:00"/>
    <x v="1"/>
    <x v="1"/>
  </r>
  <r>
    <x v="0"/>
    <x v="37"/>
    <s v="Jharkhand"/>
    <s v="Branch"/>
    <s v="YES"/>
    <n v="1405"/>
    <n v="4942"/>
    <s v="Owned"/>
    <d v="1987-02-14T00:00:00"/>
    <x v="1"/>
    <x v="1"/>
  </r>
  <r>
    <x v="0"/>
    <x v="38"/>
    <s v="Madhya Pradesh"/>
    <s v="Branch"/>
    <s v="YES"/>
    <n v="453"/>
    <n v="1297"/>
    <s v="Owned"/>
    <d v="2010-01-13T00:00:00"/>
    <x v="3"/>
    <x v="3"/>
  </r>
  <r>
    <x v="0"/>
    <x v="39"/>
    <s v="Uttar Pradesh"/>
    <s v="Branch"/>
    <s v="YES"/>
    <n v="439"/>
    <n v="1378"/>
    <s v="Rented"/>
    <d v="2000-03-27T00:00:00"/>
    <x v="3"/>
    <x v="3"/>
  </r>
  <r>
    <x v="0"/>
    <x v="40"/>
    <s v="Rajasthan"/>
    <s v="Branch"/>
    <s v="YES"/>
    <n v="850"/>
    <n v="2790"/>
    <s v="Rented"/>
    <d v="2013-06-01T00:00:00"/>
    <x v="2"/>
    <x v="2"/>
  </r>
  <r>
    <x v="0"/>
    <x v="41"/>
    <s v="Rajasthan"/>
    <s v="Branch"/>
    <s v="YES"/>
    <n v="479"/>
    <n v="802"/>
    <s v="Rented"/>
    <d v="2010-01-13T00:00:00"/>
    <x v="3"/>
    <x v="3"/>
  </r>
  <r>
    <x v="0"/>
    <x v="42"/>
    <s v="Rajasthan"/>
    <s v="Branch"/>
    <s v="YES"/>
    <n v="2188"/>
    <n v="3803"/>
    <s v="Owned"/>
    <d v="1984-01-20T00:00:00"/>
    <x v="1"/>
    <x v="1"/>
  </r>
  <r>
    <x v="0"/>
    <x v="43"/>
    <s v="Madhya Pradesh"/>
    <s v="Branch"/>
    <s v="YES"/>
    <n v="799"/>
    <n v="2466"/>
    <s v="Rented"/>
    <d v="2004-07-23T00:00:00"/>
    <x v="2"/>
    <x v="2"/>
  </r>
  <r>
    <x v="0"/>
    <x v="44"/>
    <s v="Uttar Pradesh"/>
    <s v="Branch"/>
    <s v="YES"/>
    <n v="924"/>
    <n v="4064"/>
    <s v="Owned"/>
    <d v="1988-12-17T00:00:00"/>
    <x v="2"/>
    <x v="2"/>
  </r>
  <r>
    <x v="0"/>
    <x v="45"/>
    <s v="Uttarakhand"/>
    <s v="Branch"/>
    <s v="NO"/>
    <n v="451"/>
    <n v="1807"/>
    <s v="Rented"/>
    <d v="2015-02-10T00:00:00"/>
    <x v="3"/>
    <x v="3"/>
  </r>
  <r>
    <x v="0"/>
    <x v="46"/>
    <s v="Uttarakhand"/>
    <s v="Branch"/>
    <s v="NO"/>
    <n v="414"/>
    <n v="1611"/>
    <s v="Rented"/>
    <d v="2015-02-10T00:00:00"/>
    <x v="3"/>
    <x v="3"/>
  </r>
  <r>
    <x v="0"/>
    <x v="47"/>
    <s v="Uttar Pradesh"/>
    <s v="Branch"/>
    <s v="NO"/>
    <n v="263"/>
    <n v="1335"/>
    <s v="Rented"/>
    <d v="2018-03-22T00:00:00"/>
    <x v="3"/>
    <x v="3"/>
  </r>
  <r>
    <x v="0"/>
    <x v="48"/>
    <s v="Bihar"/>
    <s v="Branch"/>
    <s v="NO"/>
    <n v="332"/>
    <n v="1883"/>
    <s v="Rented"/>
    <d v="2022-05-19T00:00:00"/>
    <x v="3"/>
    <x v="3"/>
  </r>
  <r>
    <x v="0"/>
    <x v="49"/>
    <s v="Rajasthan"/>
    <s v="Branch"/>
    <s v="NO"/>
    <n v="292"/>
    <n v="737"/>
    <s v="Rented"/>
    <d v="2022-05-20T00:00:00"/>
    <x v="3"/>
    <x v="3"/>
  </r>
  <r>
    <x v="0"/>
    <x v="50"/>
    <s v="Madhya Pradesh"/>
    <s v="Branch"/>
    <s v="NO"/>
    <n v="249"/>
    <n v="1040"/>
    <s v="Rented"/>
    <d v="2023-01-18T00:00:00"/>
    <x v="3"/>
    <x v="3"/>
  </r>
  <r>
    <x v="0"/>
    <x v="51"/>
    <s v="Madhya Pradesh"/>
    <s v="Branch"/>
    <s v="NO"/>
    <n v="273"/>
    <n v="844"/>
    <s v="Rented"/>
    <d v="2023-08-14T00:00:00"/>
    <x v="3"/>
    <x v="3"/>
  </r>
  <r>
    <x v="0"/>
    <x v="52"/>
    <s v="Rajasthan"/>
    <s v="Branch"/>
    <s v="NO"/>
    <n v="286"/>
    <n v="898"/>
    <s v="Rented"/>
    <d v="2023-08-14T00:00:00"/>
    <x v="3"/>
    <x v="3"/>
  </r>
  <r>
    <x v="0"/>
    <x v="53"/>
    <s v="Bihar"/>
    <s v="Branch"/>
    <s v="NO"/>
    <n v="296"/>
    <n v="2988"/>
    <s v="Rented"/>
    <d v="2024-01-03T00:00:00"/>
    <x v="3"/>
    <x v="3"/>
  </r>
  <r>
    <x v="0"/>
    <x v="54"/>
    <s v="Madhya Pradesh"/>
    <s v="Branch"/>
    <s v="NO"/>
    <n v="293"/>
    <n v="830"/>
    <s v="Rented"/>
    <d v="2024-01-03T00:00:00"/>
    <x v="3"/>
    <x v="3"/>
  </r>
  <r>
    <x v="0"/>
    <x v="55"/>
    <s v="Bihar"/>
    <s v="Branch"/>
    <s v="NO"/>
    <n v="241"/>
    <n v="1661"/>
    <s v="Rented"/>
    <d v="2024-01-03T00:00:00"/>
    <x v="3"/>
    <x v="3"/>
  </r>
  <r>
    <x v="0"/>
    <x v="56"/>
    <s v="Chattisgarh"/>
    <s v="Branch"/>
    <s v="NO"/>
    <n v="234"/>
    <n v="1095"/>
    <s v="Rented"/>
    <d v="2024-02-07T00:00:00"/>
    <x v="3"/>
    <x v="3"/>
  </r>
  <r>
    <x v="0"/>
    <x v="57"/>
    <s v="Rajasthan"/>
    <s v="Branch"/>
    <s v="NO"/>
    <n v="243"/>
    <n v="544"/>
    <s v="Rented"/>
    <d v="2024-04-25T00:00:00"/>
    <x v="3"/>
    <x v="3"/>
  </r>
  <r>
    <x v="0"/>
    <x v="58"/>
    <s v="Rajasthan"/>
    <s v="Branch"/>
    <s v="NO"/>
    <n v="246"/>
    <n v="872"/>
    <s v="Rented"/>
    <d v="2025-07-01T00:00:00"/>
    <x v="3"/>
    <x v="3"/>
  </r>
  <r>
    <x v="0"/>
    <x v="59"/>
    <s v="Rajasthan"/>
    <s v="Branch"/>
    <s v="NO"/>
    <n v="578"/>
    <n v="2181"/>
    <s v="Rented"/>
    <d v="2025-07-01T00:00:00"/>
    <x v="2"/>
    <x v="2"/>
  </r>
  <r>
    <x v="0"/>
    <x v="60"/>
    <s v="Rajasthan"/>
    <s v="Branch"/>
    <s v="YES"/>
    <n v="369"/>
    <n v="1675"/>
    <s v="Rented"/>
    <d v="2025-07-01T00:00:00"/>
    <x v="3"/>
    <x v="3"/>
  </r>
  <r>
    <x v="0"/>
    <x v="61"/>
    <s v="Rajasthan"/>
    <s v="Branch"/>
    <s v="NO"/>
    <n v="216"/>
    <n v="749"/>
    <s v="Rented"/>
    <d v="2025-10-08T00:00:00"/>
    <x v="3"/>
    <x v="3"/>
  </r>
  <r>
    <x v="0"/>
    <x v="62"/>
    <s v="Chattisgarh"/>
    <s v="Branch"/>
    <s v="NO"/>
    <n v="200"/>
    <n v="500"/>
    <s v="Rented"/>
    <d v="2026-02-06T00:00:00"/>
    <x v="3"/>
    <x v="3"/>
  </r>
  <r>
    <x v="1"/>
    <x v="63"/>
    <s v="West Bengal"/>
    <s v="RC"/>
    <s v="YES"/>
    <n v="23409"/>
    <n v="49840"/>
    <s v="Owned"/>
    <m/>
    <x v="0"/>
    <x v="0"/>
  </r>
  <r>
    <x v="1"/>
    <x v="64"/>
    <s v="West Bengal"/>
    <s v="Branch"/>
    <s v="YES"/>
    <n v="472"/>
    <n v="1927"/>
    <s v="Owned"/>
    <d v="1974-09-10T00:00:00"/>
    <x v="3"/>
    <x v="3"/>
  </r>
  <r>
    <x v="1"/>
    <x v="65"/>
    <s v="Odisha"/>
    <s v="Branch"/>
    <s v="YES"/>
    <n v="1481"/>
    <n v="4792"/>
    <s v="Owned"/>
    <d v="1979-09-16T00:00:00"/>
    <x v="1"/>
    <x v="1"/>
  </r>
  <r>
    <x v="1"/>
    <x v="66"/>
    <s v="Odisha"/>
    <s v="Branch"/>
    <s v="YES"/>
    <n v="436"/>
    <n v="1613"/>
    <s v="Owned"/>
    <d v="1989-12-20T00:00:00"/>
    <x v="3"/>
    <x v="3"/>
  </r>
  <r>
    <x v="1"/>
    <x v="67"/>
    <s v="Assam"/>
    <s v="Branch"/>
    <s v="YES"/>
    <n v="174"/>
    <n v="514"/>
    <s v="Rented"/>
    <d v="2014-01-03T00:00:00"/>
    <x v="3"/>
    <x v="3"/>
  </r>
  <r>
    <x v="1"/>
    <x v="68"/>
    <s v="West Bengal"/>
    <s v="Branch"/>
    <s v="YES"/>
    <n v="396"/>
    <n v="1682"/>
    <s v="Owned"/>
    <d v="1990-03-08T00:00:00"/>
    <x v="3"/>
    <x v="3"/>
  </r>
  <r>
    <x v="1"/>
    <x v="69"/>
    <s v="Assam"/>
    <s v="Branch"/>
    <s v="YES"/>
    <n v="2204"/>
    <n v="8092"/>
    <s v="Owned"/>
    <d v="1977-09-16T00:00:00"/>
    <x v="1"/>
    <x v="1"/>
  </r>
  <r>
    <x v="1"/>
    <x v="70"/>
    <s v="West Bengal"/>
    <s v="Branch"/>
    <s v="YES"/>
    <n v="219"/>
    <n v="701"/>
    <s v="Rented"/>
    <d v="2014-02-10T00:00:00"/>
    <x v="3"/>
    <x v="3"/>
  </r>
  <r>
    <x v="1"/>
    <x v="71"/>
    <s v="Odisha"/>
    <s v="Branch"/>
    <s v="YES"/>
    <n v="389"/>
    <n v="1299"/>
    <s v="Rented"/>
    <d v="1998-12-15T00:00:00"/>
    <x v="3"/>
    <x v="3"/>
  </r>
  <r>
    <x v="1"/>
    <x v="72"/>
    <s v="Odisha"/>
    <s v="Branch"/>
    <s v="YES"/>
    <n v="374"/>
    <n v="1103"/>
    <s v="Rented"/>
    <d v="2006-05-05T00:00:00"/>
    <x v="3"/>
    <x v="3"/>
  </r>
  <r>
    <x v="1"/>
    <x v="73"/>
    <s v="West Bengal"/>
    <s v="Branch"/>
    <s v="YES"/>
    <n v="910"/>
    <n v="2504"/>
    <s v="Owned"/>
    <d v="1990-10-01T00:00:00"/>
    <x v="2"/>
    <x v="2"/>
  </r>
  <r>
    <x v="1"/>
    <x v="74"/>
    <s v="Assam"/>
    <s v="Branch"/>
    <s v="YES"/>
    <n v="220"/>
    <n v="797"/>
    <s v="Rented"/>
    <d v="2014-01-03T00:00:00"/>
    <x v="3"/>
    <x v="3"/>
  </r>
  <r>
    <x v="1"/>
    <x v="75"/>
    <s v="Odisha"/>
    <s v="Branch"/>
    <s v="NO"/>
    <n v="143"/>
    <n v="443"/>
    <s v="Rented"/>
    <d v="2016-08-10T00:00:00"/>
    <x v="3"/>
    <x v="3"/>
  </r>
  <r>
    <x v="1"/>
    <x v="76"/>
    <s v="Odisha"/>
    <s v="Branch"/>
    <s v="YES"/>
    <n v="202"/>
    <n v="1103"/>
    <s v="Rented"/>
    <d v="2016-09-17T00:00:00"/>
    <x v="3"/>
    <x v="3"/>
  </r>
  <r>
    <x v="2"/>
    <x v="77"/>
    <s v="New Delhi"/>
    <s v="RC"/>
    <s v="YES"/>
    <n v="44209"/>
    <n v="90671"/>
    <s v="Owned"/>
    <m/>
    <x v="0"/>
    <x v="0"/>
  </r>
  <r>
    <x v="2"/>
    <x v="78"/>
    <s v="Punjab"/>
    <s v="Branch"/>
    <s v="YES"/>
    <n v="1018"/>
    <n v="2456"/>
    <s v="Owned"/>
    <d v="1978-09-16T00:00:00"/>
    <x v="1"/>
    <x v="1"/>
  </r>
  <r>
    <x v="2"/>
    <x v="79"/>
    <s v="Chandigarh"/>
    <s v="Branch"/>
    <s v="YES"/>
    <n v="3820"/>
    <n v="6514"/>
    <s v="Owned"/>
    <d v="1973-12-01T00:00:00"/>
    <x v="4"/>
    <x v="4"/>
  </r>
  <r>
    <x v="2"/>
    <x v="80"/>
    <s v="Haryana"/>
    <s v="Branch"/>
    <s v="YES"/>
    <n v="3985"/>
    <n v="10405"/>
    <s v="Owned"/>
    <d v="1980-04-02T00:00:00"/>
    <x v="4"/>
    <x v="4"/>
  </r>
  <r>
    <x v="2"/>
    <x v="81"/>
    <s v="Haryana"/>
    <s v="Branch"/>
    <s v="NO"/>
    <n v="1661"/>
    <n v="5316"/>
    <s v="Owned"/>
    <d v="1988-08-10T00:00:00"/>
    <x v="1"/>
    <x v="1"/>
  </r>
  <r>
    <x v="2"/>
    <x v="82"/>
    <s v="Punjab"/>
    <s v="Branch"/>
    <s v="YES"/>
    <n v="1425"/>
    <n v="3974"/>
    <s v="Owned"/>
    <d v="1981-12-23T00:00:00"/>
    <x v="1"/>
    <x v="1"/>
  </r>
  <r>
    <x v="2"/>
    <x v="83"/>
    <s v="Jammu"/>
    <s v="Branch"/>
    <s v="NO"/>
    <n v="892"/>
    <n v="4275"/>
    <s v="Owned"/>
    <d v="1987-07-18T00:00:00"/>
    <x v="2"/>
    <x v="2"/>
  </r>
  <r>
    <x v="2"/>
    <x v="84"/>
    <s v="Punjab"/>
    <s v="Branch"/>
    <s v="YES"/>
    <n v="2709"/>
    <n v="5947"/>
    <s v="Owned"/>
    <d v="1974-09-10T00:00:00"/>
    <x v="4"/>
    <x v="4"/>
  </r>
  <r>
    <x v="2"/>
    <x v="85"/>
    <s v="Haryana"/>
    <s v="Branch"/>
    <s v="NO"/>
    <n v="758"/>
    <n v="2363"/>
    <s v="Rented"/>
    <d v="1998-06-01T00:00:00"/>
    <x v="2"/>
    <x v="2"/>
  </r>
  <r>
    <x v="2"/>
    <x v="86"/>
    <s v="Himachal Pradesh"/>
    <s v="Branch"/>
    <s v="NO"/>
    <n v="672"/>
    <n v="2994"/>
    <s v="Owned"/>
    <d v="1988-08-10T00:00:00"/>
    <x v="2"/>
    <x v="2"/>
  </r>
  <r>
    <x v="2"/>
    <x v="87"/>
    <s v="Haryana"/>
    <s v="Branch"/>
    <s v="NO"/>
    <n v="687"/>
    <n v="1737"/>
    <s v="Rented"/>
    <d v="2004-03-10T00:00:00"/>
    <x v="2"/>
    <x v="2"/>
  </r>
  <r>
    <x v="2"/>
    <x v="88"/>
    <s v="Haryana"/>
    <s v="Branch"/>
    <s v="NO"/>
    <n v="479"/>
    <n v="1253"/>
    <s v="Rented"/>
    <d v="1987-04-30T00:00:00"/>
    <x v="3"/>
    <x v="3"/>
  </r>
  <r>
    <x v="2"/>
    <x v="89"/>
    <s v="Haryana"/>
    <s v="Branch"/>
    <s v="YES"/>
    <n v="12813"/>
    <n v="8525"/>
    <s v="Owned"/>
    <d v="1999-02-28T00:00:00"/>
    <x v="5"/>
    <x v="5"/>
  </r>
  <r>
    <x v="2"/>
    <x v="90"/>
    <s v="Haryana"/>
    <s v="Branch"/>
    <s v="YES"/>
    <n v="978"/>
    <n v="2579"/>
    <s v="Owned"/>
    <d v="1999-02-28T00:00:00"/>
    <x v="2"/>
    <x v="2"/>
  </r>
  <r>
    <x v="2"/>
    <x v="91"/>
    <s v="Punjab"/>
    <s v="Branch"/>
    <s v="NO"/>
    <n v="672"/>
    <n v="1656"/>
    <s v="Rented"/>
    <d v="1999-04-11T00:00:00"/>
    <x v="2"/>
    <x v="2"/>
  </r>
  <r>
    <x v="2"/>
    <x v="92"/>
    <s v="Haryana"/>
    <s v="Branch"/>
    <s v="NO"/>
    <n v="604"/>
    <n v="1924"/>
    <s v="Rented"/>
    <d v="2000-03-27T00:00:00"/>
    <x v="2"/>
    <x v="2"/>
  </r>
  <r>
    <x v="2"/>
    <x v="93"/>
    <s v="Punjab"/>
    <s v="Branch"/>
    <s v="YES"/>
    <n v="579"/>
    <n v="2037"/>
    <s v="Owned"/>
    <d v="2006-11-07T00:00:00"/>
    <x v="2"/>
    <x v="2"/>
  </r>
  <r>
    <x v="2"/>
    <x v="94"/>
    <s v="Haryana"/>
    <s v="Branch"/>
    <s v="YES"/>
    <n v="611"/>
    <n v="2092"/>
    <s v="Rented"/>
    <d v="2001-05-01T00:00:00"/>
    <x v="2"/>
    <x v="2"/>
  </r>
  <r>
    <x v="2"/>
    <x v="95"/>
    <s v="Punjab"/>
    <s v="Branch"/>
    <s v="NO"/>
    <n v="1035"/>
    <n v="3117"/>
    <s v="Owned"/>
    <d v="2000-03-27T00:00:00"/>
    <x v="1"/>
    <x v="1"/>
  </r>
  <r>
    <x v="2"/>
    <x v="96"/>
    <s v="Haryana"/>
    <s v="Branch"/>
    <s v="NO"/>
    <n v="454"/>
    <n v="1680"/>
    <s v="Rented"/>
    <d v="2013-06-01T00:00:00"/>
    <x v="3"/>
    <x v="3"/>
  </r>
  <r>
    <x v="2"/>
    <x v="97"/>
    <s v="Haryana"/>
    <s v="Branch"/>
    <s v="NO"/>
    <n v="420"/>
    <n v="1938"/>
    <s v="Rented"/>
    <d v="2013-06-01T00:00:00"/>
    <x v="3"/>
    <x v="3"/>
  </r>
  <r>
    <x v="2"/>
    <x v="98"/>
    <s v="Haryana"/>
    <s v="Branch"/>
    <s v="NO"/>
    <n v="345"/>
    <n v="1560"/>
    <s v="Rented"/>
    <d v="2016-07-01T00:00:00"/>
    <x v="3"/>
    <x v="3"/>
  </r>
  <r>
    <x v="2"/>
    <x v="99"/>
    <s v="Haryana"/>
    <s v="Branch"/>
    <s v="NO"/>
    <n v="505"/>
    <n v="2200"/>
    <s v="Rented"/>
    <d v="2016-07-01T00:00:00"/>
    <x v="2"/>
    <x v="2"/>
  </r>
  <r>
    <x v="2"/>
    <x v="100"/>
    <s v="Haryana"/>
    <s v="Branch"/>
    <s v="NO"/>
    <n v="273"/>
    <n v="1002"/>
    <s v="Rented"/>
    <d v="2016-07-01T00:00:00"/>
    <x v="3"/>
    <x v="3"/>
  </r>
  <r>
    <x v="2"/>
    <x v="101"/>
    <s v="Haryana"/>
    <s v="Branch"/>
    <s v="NO"/>
    <n v="329"/>
    <n v="1068"/>
    <s v="Rented"/>
    <d v="2016-07-01T00:00:00"/>
    <x v="3"/>
    <x v="3"/>
  </r>
  <r>
    <x v="2"/>
    <x v="102"/>
    <s v="Haryana"/>
    <s v="Branch"/>
    <s v="NO"/>
    <n v="239"/>
    <n v="709"/>
    <s v="Rented"/>
    <d v="2023-08-14T00:00:00"/>
    <x v="3"/>
    <x v="3"/>
  </r>
  <r>
    <x v="3"/>
    <x v="103"/>
    <s v="Tamil Nadu"/>
    <s v="RC"/>
    <s v="YES"/>
    <n v="22204"/>
    <n v="60645"/>
    <s v="Owned"/>
    <m/>
    <x v="0"/>
    <x v="0"/>
  </r>
  <r>
    <x v="3"/>
    <x v="104"/>
    <s v="Kerala"/>
    <s v="Branch"/>
    <s v="YES"/>
    <n v="644"/>
    <n v="3972"/>
    <s v="Owned"/>
    <d v="1981-09-17T00:00:00"/>
    <x v="2"/>
    <x v="2"/>
  </r>
  <r>
    <x v="3"/>
    <x v="105"/>
    <s v="Andhra pradesh"/>
    <s v="Branch"/>
    <s v="YES"/>
    <n v="728"/>
    <n v="2980"/>
    <s v="Rented"/>
    <d v="2014-03-22T00:00:00"/>
    <x v="2"/>
    <x v="2"/>
  </r>
  <r>
    <x v="3"/>
    <x v="106"/>
    <s v="Karnataka"/>
    <s v="Branch"/>
    <s v="YES"/>
    <n v="22146"/>
    <n v="44212"/>
    <s v="Owned"/>
    <d v="1962-04-01T00:00:00"/>
    <x v="5"/>
    <x v="5"/>
  </r>
  <r>
    <x v="3"/>
    <x v="107"/>
    <s v="Karnataka"/>
    <s v="Branch"/>
    <s v="YES"/>
    <n v="495"/>
    <n v="2814"/>
    <s v="Owned"/>
    <d v="1974-06-10T00:00:00"/>
    <x v="3"/>
    <x v="3"/>
  </r>
  <r>
    <x v="3"/>
    <x v="108"/>
    <s v="Karnataka"/>
    <s v="Branch"/>
    <s v="YES"/>
    <n v="275"/>
    <n v="1781"/>
    <s v="Owned"/>
    <d v="2006-09-08T00:00:00"/>
    <x v="3"/>
    <x v="3"/>
  </r>
  <r>
    <x v="3"/>
    <x v="109"/>
    <s v="Kerala"/>
    <s v="Branch"/>
    <s v="YES"/>
    <n v="1133"/>
    <n v="10949"/>
    <s v="Owned"/>
    <d v="1982-03-05T00:00:00"/>
    <x v="1"/>
    <x v="1"/>
  </r>
  <r>
    <x v="3"/>
    <x v="110"/>
    <s v="Tamil Nadu"/>
    <s v="Branch"/>
    <s v="YES"/>
    <n v="2257"/>
    <n v="9002"/>
    <s v="Owned"/>
    <d v="1962-04-01T00:00:00"/>
    <x v="1"/>
    <x v="1"/>
  </r>
  <r>
    <x v="3"/>
    <x v="111"/>
    <s v="Kerala"/>
    <s v="Branch"/>
    <s v="YES"/>
    <n v="3524"/>
    <n v="9919"/>
    <s v="Owned"/>
    <d v="1967-12-01T00:00:00"/>
    <x v="4"/>
    <x v="4"/>
  </r>
  <r>
    <x v="3"/>
    <x v="112"/>
    <s v="Tamil Nadu"/>
    <s v="Branch"/>
    <s v="YES"/>
    <n v="447"/>
    <n v="3239"/>
    <s v="Owned"/>
    <d v="1985-09-16T00:00:00"/>
    <x v="3"/>
    <x v="3"/>
  </r>
  <r>
    <x v="3"/>
    <x v="113"/>
    <s v="Andhra pradesh"/>
    <s v="Branch"/>
    <s v="YES"/>
    <n v="1750"/>
    <n v="5650"/>
    <s v="Owned"/>
    <d v="1981-12-23T00:00:00"/>
    <x v="1"/>
    <x v="1"/>
  </r>
  <r>
    <x v="3"/>
    <x v="114"/>
    <s v="Karnataka"/>
    <s v="Branch"/>
    <s v="YES"/>
    <n v="465"/>
    <n v="3081"/>
    <s v="Owned"/>
    <d v="1985-09-16T00:00:00"/>
    <x v="3"/>
    <x v="3"/>
  </r>
  <r>
    <x v="3"/>
    <x v="115"/>
    <s v="Telangana"/>
    <s v="Branch"/>
    <s v="YES"/>
    <n v="15051"/>
    <n v="34510"/>
    <s v="Owned"/>
    <d v="1962-04-01T00:00:00"/>
    <x v="5"/>
    <x v="5"/>
  </r>
  <r>
    <x v="3"/>
    <x v="116"/>
    <s v="Andhra pradesh"/>
    <s v="Branch"/>
    <s v="YES"/>
    <n v="534"/>
    <n v="1494"/>
    <s v="Owned"/>
    <d v="2006-09-08T00:00:00"/>
    <x v="2"/>
    <x v="2"/>
  </r>
  <r>
    <x v="3"/>
    <x v="117"/>
    <s v="Kerala"/>
    <s v="Branch"/>
    <s v="YES"/>
    <n v="564"/>
    <n v="4813"/>
    <s v="Owned"/>
    <d v="2011-12-27T00:00:00"/>
    <x v="2"/>
    <x v="2"/>
  </r>
  <r>
    <x v="3"/>
    <x v="118"/>
    <s v="Telangana"/>
    <s v="Branch"/>
    <s v="YES"/>
    <n v="606"/>
    <n v="1763"/>
    <s v="Rented"/>
    <d v="2014-01-03T00:00:00"/>
    <x v="2"/>
    <x v="2"/>
  </r>
  <r>
    <x v="3"/>
    <x v="119"/>
    <s v="Kerala"/>
    <s v="Branch"/>
    <s v="YES"/>
    <n v="684"/>
    <n v="2686"/>
    <s v="Owned"/>
    <d v="1981-04-29T00:00:00"/>
    <x v="2"/>
    <x v="2"/>
  </r>
  <r>
    <x v="3"/>
    <x v="120"/>
    <s v="Tamil Nadu"/>
    <s v="Branch"/>
    <s v="YES"/>
    <n v="358"/>
    <n v="3591"/>
    <s v="Owned"/>
    <d v="1980-04-02T00:00:00"/>
    <x v="3"/>
    <x v="3"/>
  </r>
  <r>
    <x v="3"/>
    <x v="121"/>
    <s v="Andhra pradesh"/>
    <s v="Branch"/>
    <s v="YES"/>
    <n v="745"/>
    <n v="2694"/>
    <s v="Rented"/>
    <d v="2014-02-10T00:00:00"/>
    <x v="2"/>
    <x v="2"/>
  </r>
  <r>
    <x v="3"/>
    <x v="122"/>
    <s v="Tamil Nadu"/>
    <s v="Branch"/>
    <s v="YES"/>
    <n v="762"/>
    <n v="5670"/>
    <s v="Owned"/>
    <d v="1962-04-01T00:00:00"/>
    <x v="2"/>
    <x v="2"/>
  </r>
  <r>
    <x v="3"/>
    <x v="123"/>
    <s v="Karnataka"/>
    <s v="Branch"/>
    <s v="YES"/>
    <n v="1241"/>
    <n v="6553"/>
    <s v="Owned"/>
    <d v="1971-08-18T00:00:00"/>
    <x v="1"/>
    <x v="1"/>
  </r>
  <r>
    <x v="3"/>
    <x v="124"/>
    <s v="Karnataka"/>
    <s v="Branch"/>
    <s v="YES"/>
    <n v="601"/>
    <n v="4331"/>
    <s v="Owned"/>
    <d v="1982-07-24T00:00:00"/>
    <x v="2"/>
    <x v="2"/>
  </r>
  <r>
    <x v="3"/>
    <x v="125"/>
    <s v="Andhra pradesh"/>
    <s v="Branch"/>
    <s v="YES"/>
    <n v="782"/>
    <n v="2353"/>
    <s v="Owned"/>
    <d v="2006-12-22T00:00:00"/>
    <x v="2"/>
    <x v="2"/>
  </r>
  <r>
    <x v="3"/>
    <x v="126"/>
    <s v="Andhra pradesh"/>
    <s v="Branch"/>
    <s v="YES"/>
    <n v="956"/>
    <n v="2492"/>
    <s v="Rented"/>
    <d v="2014-01-03T00:00:00"/>
    <x v="2"/>
    <x v="2"/>
  </r>
  <r>
    <x v="3"/>
    <x v="127"/>
    <s v="Kerala"/>
    <s v="Branch"/>
    <s v="YES"/>
    <n v="651"/>
    <n v="4061"/>
    <s v="Owned"/>
    <d v="1987-12-31T00:00:00"/>
    <x v="2"/>
    <x v="2"/>
  </r>
  <r>
    <x v="3"/>
    <x v="128"/>
    <s v="Pondicherry"/>
    <s v="Branch"/>
    <s v="YES"/>
    <n v="485"/>
    <n v="4225"/>
    <s v="Owned"/>
    <d v="1986-04-03T00:00:00"/>
    <x v="3"/>
    <x v="3"/>
  </r>
  <r>
    <x v="3"/>
    <x v="129"/>
    <s v="Kerala"/>
    <s v="Branch"/>
    <s v="YES"/>
    <n v="483"/>
    <n v="4590"/>
    <s v="Owned"/>
    <d v="1987-07-18T00:00:00"/>
    <x v="3"/>
    <x v="3"/>
  </r>
  <r>
    <x v="3"/>
    <x v="130"/>
    <s v="Andhra pradesh"/>
    <s v="Branch"/>
    <s v="YES"/>
    <n v="648"/>
    <n v="1831"/>
    <s v="Owned"/>
    <d v="2006-05-05T00:00:00"/>
    <x v="2"/>
    <x v="2"/>
  </r>
  <r>
    <x v="3"/>
    <x v="131"/>
    <s v="Tamil Nadu"/>
    <s v="Branch"/>
    <s v="YES"/>
    <n v="685"/>
    <n v="5572"/>
    <s v="Owned"/>
    <d v="1971-08-18T00:00:00"/>
    <x v="2"/>
    <x v="2"/>
  </r>
  <r>
    <x v="3"/>
    <x v="132"/>
    <s v="Tamil Nadu"/>
    <s v="Branch"/>
    <s v="YES"/>
    <n v="199"/>
    <n v="1782"/>
    <s v="Rented"/>
    <d v="2011-11-09T00:00:00"/>
    <x v="3"/>
    <x v="3"/>
  </r>
  <r>
    <x v="3"/>
    <x v="133"/>
    <s v="Tamil Nadu"/>
    <s v="Branch"/>
    <s v="YES"/>
    <n v="189"/>
    <n v="2399"/>
    <s v="Owned"/>
    <d v="1980-09-15T00:00:00"/>
    <x v="3"/>
    <x v="3"/>
  </r>
  <r>
    <x v="3"/>
    <x v="134"/>
    <s v="Andhra pradesh"/>
    <s v="Branch"/>
    <s v="YES"/>
    <n v="1247"/>
    <n v="5309"/>
    <s v="Rented"/>
    <d v="2010-01-13T00:00:00"/>
    <x v="1"/>
    <x v="1"/>
  </r>
  <r>
    <x v="3"/>
    <x v="135"/>
    <s v="Kerala"/>
    <s v="Branch"/>
    <s v="YES"/>
    <n v="1268"/>
    <n v="6815"/>
    <s v="Owned"/>
    <d v="1981-04-29T00:00:00"/>
    <x v="1"/>
    <x v="1"/>
  </r>
  <r>
    <x v="3"/>
    <x v="136"/>
    <s v="Tamil Nadu"/>
    <s v="Branch"/>
    <s v="YES"/>
    <n v="685"/>
    <n v="4628"/>
    <s v="Owned"/>
    <d v="1971-08-18T00:00:00"/>
    <x v="2"/>
    <x v="2"/>
  </r>
  <r>
    <x v="3"/>
    <x v="137"/>
    <s v="Tamil Nadu"/>
    <s v="Branch"/>
    <s v="YES"/>
    <n v="596"/>
    <n v="4207"/>
    <s v="Owned"/>
    <d v="1989-06-03T00:00:00"/>
    <x v="2"/>
    <x v="2"/>
  </r>
  <r>
    <x v="3"/>
    <x v="138"/>
    <s v="Kerala"/>
    <s v="Branch"/>
    <s v="YES"/>
    <n v="1004"/>
    <n v="5671"/>
    <s v="Owned"/>
    <d v="1972-01-25T00:00:00"/>
    <x v="1"/>
    <x v="1"/>
  </r>
  <r>
    <x v="3"/>
    <x v="139"/>
    <s v="Tamil Nadu"/>
    <s v="Branch"/>
    <s v="YES"/>
    <n v="128"/>
    <n v="1194"/>
    <s v="Owned"/>
    <d v="1990-10-01T00:00:00"/>
    <x v="3"/>
    <x v="3"/>
  </r>
  <r>
    <x v="3"/>
    <x v="140"/>
    <s v="Karnataka"/>
    <s v="Branch"/>
    <s v="YES"/>
    <n v="645"/>
    <n v="4654"/>
    <s v="Owned"/>
    <d v="2001-05-01T00:00:00"/>
    <x v="2"/>
    <x v="2"/>
  </r>
  <r>
    <x v="3"/>
    <x v="141"/>
    <s v="Tamil Nadu"/>
    <s v="Branch"/>
    <s v="YES"/>
    <n v="497"/>
    <n v="4086"/>
    <s v="Owned"/>
    <d v="1987-08-13T00:00:00"/>
    <x v="3"/>
    <x v="3"/>
  </r>
  <r>
    <x v="3"/>
    <x v="142"/>
    <s v="Andhra pradesh"/>
    <s v="Branch"/>
    <s v="YES"/>
    <n v="1815"/>
    <n v="5647"/>
    <s v="Owned"/>
    <d v="1971-08-18T00:00:00"/>
    <x v="1"/>
    <x v="1"/>
  </r>
  <r>
    <x v="3"/>
    <x v="143"/>
    <s v="Andhra pradesh"/>
    <s v="Branch"/>
    <s v="YES"/>
    <n v="2061"/>
    <n v="6389"/>
    <s v="Owned"/>
    <d v="1977-04-23T00:00:00"/>
    <x v="1"/>
    <x v="1"/>
  </r>
  <r>
    <x v="3"/>
    <x v="144"/>
    <s v="Telangana"/>
    <s v="Branch"/>
    <s v="YES"/>
    <n v="402"/>
    <n v="1228"/>
    <s v="Rented"/>
    <d v="2014-01-03T00:00:00"/>
    <x v="3"/>
    <x v="3"/>
  </r>
  <r>
    <x v="3"/>
    <x v="145"/>
    <s v="Andhra pradesh"/>
    <s v="Branch"/>
    <s v="YES"/>
    <n v="584"/>
    <n v="1773"/>
    <s v="Rented"/>
    <d v="2015-08-14T00:00:00"/>
    <x v="2"/>
    <x v="2"/>
  </r>
  <r>
    <x v="3"/>
    <x v="146"/>
    <s v="Karnataka"/>
    <s v="Branch"/>
    <s v="YES"/>
    <n v="135"/>
    <n v="1082"/>
    <s v="Rented"/>
    <d v="2015-02-10T00:00:00"/>
    <x v="3"/>
    <x v="3"/>
  </r>
  <r>
    <x v="3"/>
    <x v="147"/>
    <s v="Tamil Nadu"/>
    <s v="Branch"/>
    <s v="YES"/>
    <n v="3995"/>
    <n v="10713"/>
    <s v="Owned"/>
    <d v="2015-08-14T00:00:00"/>
    <x v="4"/>
    <x v="4"/>
  </r>
  <r>
    <x v="3"/>
    <x v="148"/>
    <s v="Andhra pradesh"/>
    <s v="Branch"/>
    <s v="NO"/>
    <n v="777"/>
    <n v="2520"/>
    <s v="Rented"/>
    <d v="2017-02-08T00:00:00"/>
    <x v="2"/>
    <x v="2"/>
  </r>
  <r>
    <x v="3"/>
    <x v="149"/>
    <s v="Andhra pradesh"/>
    <s v="Branch"/>
    <s v="NO"/>
    <n v="390"/>
    <n v="1066"/>
    <s v="Rented"/>
    <d v="2024-08-14T00:00:00"/>
    <x v="3"/>
    <x v="3"/>
  </r>
  <r>
    <x v="3"/>
    <x v="150"/>
    <s v="Telangana"/>
    <s v="Branch"/>
    <s v="NO"/>
    <n v="259"/>
    <n v="767"/>
    <s v="Rented"/>
    <d v="2025-05-27T00:00:00"/>
    <x v="3"/>
    <x v="3"/>
  </r>
  <r>
    <x v="3"/>
    <x v="151"/>
    <s v="Telangana"/>
    <s v="Branch"/>
    <s v="NO"/>
    <n v="243"/>
    <n v="682"/>
    <s v="Rented"/>
    <d v="2025-05-27T00:00:00"/>
    <x v="3"/>
    <x v="3"/>
  </r>
  <r>
    <x v="4"/>
    <x v="152"/>
    <s v="Maharashtra"/>
    <s v="RC"/>
    <s v="YES"/>
    <n v="62255"/>
    <n v="91486"/>
    <s v="Owned"/>
    <m/>
    <x v="0"/>
    <x v="0"/>
  </r>
  <r>
    <x v="4"/>
    <x v="153"/>
    <s v="Gujarat"/>
    <s v="Branch"/>
    <s v="YES"/>
    <n v="13934"/>
    <n v="22997"/>
    <s v="Owned"/>
    <d v="1962-04-01T00:00:00"/>
    <x v="5"/>
    <x v="5"/>
  </r>
  <r>
    <x v="4"/>
    <x v="154"/>
    <s v="Maharashtra"/>
    <s v="Branch"/>
    <s v="YES"/>
    <n v="679"/>
    <n v="2884"/>
    <s v="Owned"/>
    <d v="2002-09-14T00:00:00"/>
    <x v="2"/>
    <x v="2"/>
  </r>
  <r>
    <x v="4"/>
    <x v="155"/>
    <s v="Maharashtra"/>
    <s v="Branch"/>
    <s v="YES"/>
    <n v="772"/>
    <n v="3395"/>
    <s v="Owned"/>
    <d v="2003-09-18T00:00:00"/>
    <x v="2"/>
    <x v="2"/>
  </r>
  <r>
    <x v="4"/>
    <x v="156"/>
    <s v="Maharashtra"/>
    <s v="Branch"/>
    <s v="YES"/>
    <n v="543"/>
    <n v="2253"/>
    <s v="Owned"/>
    <d v="2008-03-27T00:00:00"/>
    <x v="2"/>
    <x v="2"/>
  </r>
  <r>
    <x v="4"/>
    <x v="157"/>
    <s v="Gujarat"/>
    <s v="Branch"/>
    <s v="YES"/>
    <n v="446"/>
    <n v="1670"/>
    <s v="Owned"/>
    <d v="1986-04-03T00:00:00"/>
    <x v="3"/>
    <x v="3"/>
  </r>
  <r>
    <x v="4"/>
    <x v="158"/>
    <s v="Maharashtra"/>
    <s v="Branch"/>
    <s v="YES"/>
    <n v="1497"/>
    <n v="6644"/>
    <s v="Owned"/>
    <d v="1985-12-21T00:00:00"/>
    <x v="1"/>
    <x v="1"/>
  </r>
  <r>
    <x v="4"/>
    <x v="159"/>
    <s v="Gujarat"/>
    <s v="Branch"/>
    <s v="YES"/>
    <n v="3332"/>
    <n v="8443"/>
    <s v="Owned"/>
    <d v="1967-11-05T00:00:00"/>
    <x v="4"/>
    <x v="4"/>
  </r>
  <r>
    <x v="4"/>
    <x v="160"/>
    <s v="Gujarat"/>
    <s v="Branch"/>
    <s v="YES"/>
    <n v="356"/>
    <n v="1454"/>
    <s v="Owned"/>
    <d v="2006-09-08T00:00:00"/>
    <x v="3"/>
    <x v="3"/>
  </r>
  <r>
    <x v="4"/>
    <x v="161"/>
    <s v="Gujarat"/>
    <s v="Branch"/>
    <s v="YES"/>
    <n v="515"/>
    <n v="2363"/>
    <s v="Rented"/>
    <d v="2010-01-13T00:00:00"/>
    <x v="2"/>
    <x v="2"/>
  </r>
  <r>
    <x v="4"/>
    <x v="162"/>
    <s v="Maharashtra"/>
    <s v="Branch"/>
    <s v="YES"/>
    <n v="325"/>
    <n v="1682"/>
    <s v="Rented"/>
    <d v="2013-06-01T00:00:00"/>
    <x v="3"/>
    <x v="3"/>
  </r>
  <r>
    <x v="4"/>
    <x v="163"/>
    <s v="Gujarat"/>
    <s v="Branch"/>
    <s v="YES"/>
    <n v="539"/>
    <n v="1749"/>
    <s v="Rented"/>
    <d v="2009-12-16T00:00:00"/>
    <x v="2"/>
    <x v="2"/>
  </r>
  <r>
    <x v="4"/>
    <x v="164"/>
    <s v="Goa"/>
    <s v="Branch"/>
    <s v="YES"/>
    <n v="735"/>
    <n v="1947"/>
    <s v="Owned"/>
    <d v="1974-05-15T00:00:00"/>
    <x v="2"/>
    <x v="2"/>
  </r>
  <r>
    <x v="4"/>
    <x v="165"/>
    <s v="Maharashtra"/>
    <s v="Branch"/>
    <s v="YES"/>
    <n v="672"/>
    <n v="2582"/>
    <s v="Owned"/>
    <d v="1987-04-30T00:00:00"/>
    <x v="2"/>
    <x v="2"/>
  </r>
  <r>
    <x v="4"/>
    <x v="166"/>
    <s v="Gujarat"/>
    <s v="Branch"/>
    <s v="YES"/>
    <n v="907"/>
    <n v="3217"/>
    <s v="Owned"/>
    <d v="2002-03-11T00:00:00"/>
    <x v="2"/>
    <x v="2"/>
  </r>
  <r>
    <x v="4"/>
    <x v="167"/>
    <s v="Maharashtra"/>
    <s v="Branch"/>
    <s v="YES"/>
    <n v="796"/>
    <n v="3118"/>
    <s v="Owned"/>
    <d v="1981-07-21T00:00:00"/>
    <x v="2"/>
    <x v="2"/>
  </r>
  <r>
    <x v="4"/>
    <x v="168"/>
    <s v="Maharashtra"/>
    <s v="Branch"/>
    <s v="YES"/>
    <n v="339"/>
    <n v="3324"/>
    <s v="Rented"/>
    <d v="2010-07-01T00:00:00"/>
    <x v="3"/>
    <x v="3"/>
  </r>
  <r>
    <x v="4"/>
    <x v="169"/>
    <s v="Maharashtra"/>
    <s v="Branch"/>
    <s v="YES"/>
    <n v="3630"/>
    <n v="9329"/>
    <s v="Owned"/>
    <d v="1978-04-21T00:00:00"/>
    <x v="4"/>
    <x v="4"/>
  </r>
  <r>
    <x v="4"/>
    <x v="170"/>
    <s v="Maharashtra"/>
    <s v="Branch"/>
    <s v="YES"/>
    <n v="295"/>
    <n v="2203"/>
    <s v="Rented"/>
    <d v="2013-06-01T00:00:00"/>
    <x v="3"/>
    <x v="3"/>
  </r>
  <r>
    <x v="4"/>
    <x v="171"/>
    <s v="Maharashtra"/>
    <s v="Branch"/>
    <s v="YES"/>
    <n v="2246"/>
    <n v="7645"/>
    <s v="Owned"/>
    <d v="1981-07-21T00:00:00"/>
    <x v="1"/>
    <x v="1"/>
  </r>
  <r>
    <x v="4"/>
    <x v="172"/>
    <s v="Maharashtra"/>
    <s v="Branch"/>
    <s v="YES"/>
    <n v="3706"/>
    <n v="8798"/>
    <s v="Rented"/>
    <d v="2005-12-01T00:00:00"/>
    <x v="4"/>
    <x v="4"/>
  </r>
  <r>
    <x v="4"/>
    <x v="173"/>
    <s v="Gujarat"/>
    <s v="Branch"/>
    <s v="YES"/>
    <n v="249"/>
    <n v="1014"/>
    <s v="Rented"/>
    <d v="2013-03-26T00:00:00"/>
    <x v="3"/>
    <x v="3"/>
  </r>
  <r>
    <x v="4"/>
    <x v="174"/>
    <s v="Maharashtra"/>
    <s v="Branch"/>
    <s v="YES"/>
    <n v="3047"/>
    <n v="8710"/>
    <s v="Owned"/>
    <d v="2008-03-27T00:00:00"/>
    <x v="4"/>
    <x v="4"/>
  </r>
  <r>
    <x v="4"/>
    <x v="175"/>
    <s v="Maharashtra"/>
    <s v="Branch"/>
    <s v="YES"/>
    <n v="11270"/>
    <n v="19760"/>
    <s v="Owned"/>
    <d v="1962-04-01T00:00:00"/>
    <x v="5"/>
    <x v="5"/>
  </r>
  <r>
    <x v="4"/>
    <x v="176"/>
    <s v="Gujarat"/>
    <s v="Branch"/>
    <s v="YES"/>
    <n v="2526"/>
    <n v="7426"/>
    <s v="Owned"/>
    <d v="1977-12-24T00:00:00"/>
    <x v="4"/>
    <x v="4"/>
  </r>
  <r>
    <x v="4"/>
    <x v="177"/>
    <s v="Maharashtra"/>
    <s v="Branch"/>
    <s v="YES"/>
    <n v="265"/>
    <n v="1121"/>
    <s v="Rented"/>
    <d v="2016-07-01T00:00:00"/>
    <x v="3"/>
    <x v="3"/>
  </r>
  <r>
    <x v="4"/>
    <x v="178"/>
    <s v="Maharashtra"/>
    <s v="Branch"/>
    <s v="YES"/>
    <n v="392"/>
    <n v="1825"/>
    <s v="Owned"/>
    <d v="1987-04-30T00:00:00"/>
    <x v="3"/>
    <x v="3"/>
  </r>
  <r>
    <x v="4"/>
    <x v="179"/>
    <s v="Maharashtra"/>
    <s v="Branch"/>
    <s v="YES"/>
    <n v="384"/>
    <n v="2070"/>
    <s v="Rented"/>
    <d v="2013-03-26T00:00:00"/>
    <x v="3"/>
    <x v="3"/>
  </r>
  <r>
    <x v="4"/>
    <x v="180"/>
    <s v="Maharashtra"/>
    <s v="Branch"/>
    <s v="YES"/>
    <n v="420"/>
    <n v="2378"/>
    <s v="Owned"/>
    <d v="1985-07-12T00:00:00"/>
    <x v="3"/>
    <x v="3"/>
  </r>
  <r>
    <x v="4"/>
    <x v="181"/>
    <s v="Gujarat"/>
    <s v="Branch"/>
    <s v="YES"/>
    <n v="7470"/>
    <n v="19792"/>
    <s v="Owned"/>
    <d v="1971-08-18T00:00:00"/>
    <x v="5"/>
    <x v="5"/>
  </r>
  <r>
    <x v="4"/>
    <x v="182"/>
    <s v="Maharashtra"/>
    <s v="Branch"/>
    <s v="YES"/>
    <n v="5200"/>
    <n v="9358"/>
    <s v="Rented"/>
    <d v="2005-01-22T00:00:00"/>
    <x v="5"/>
    <x v="5"/>
  </r>
  <r>
    <x v="4"/>
    <x v="183"/>
    <s v="Gujarat"/>
    <s v="Branch"/>
    <s v="YES"/>
    <n v="723"/>
    <n v="2520"/>
    <s v="Owned"/>
    <d v="2009-07-09T00:00:00"/>
    <x v="2"/>
    <x v="2"/>
  </r>
  <r>
    <x v="4"/>
    <x v="184"/>
    <s v="Maharashtra"/>
    <s v="Branch"/>
    <s v="YES"/>
    <n v="4115"/>
    <n v="11635"/>
    <s v="Rented"/>
    <d v="2005-01-22T00:00:00"/>
    <x v="4"/>
    <x v="4"/>
  </r>
  <r>
    <x v="4"/>
    <x v="185"/>
    <s v="Gujarat"/>
    <s v="Branch"/>
    <s v="YES"/>
    <n v="363"/>
    <n v="1110"/>
    <s v="Rented"/>
    <d v="2015-07-30T00:00:00"/>
    <x v="3"/>
    <x v="3"/>
  </r>
  <r>
    <x v="4"/>
    <x v="186"/>
    <s v="Maharashtra"/>
    <s v="Branch"/>
    <s v="YES"/>
    <n v="4748"/>
    <n v="15748"/>
    <s v="Rented"/>
    <d v="2016-01-17T00:00:00"/>
    <x v="4"/>
    <x v="4"/>
  </r>
  <r>
    <x v="4"/>
    <x v="187"/>
    <s v="Maharashtra"/>
    <s v="Branch"/>
    <s v="YES"/>
    <n v="380"/>
    <n v="1423"/>
    <s v="Rented"/>
    <d v="2016-07-01T00:00:00"/>
    <x v="3"/>
    <x v="3"/>
  </r>
  <r>
    <x v="4"/>
    <x v="188"/>
    <s v="Gujarat"/>
    <s v="Branch"/>
    <s v="NO"/>
    <n v="847"/>
    <n v="2771"/>
    <s v="Rented"/>
    <d v="2023-03-23T00:00:00"/>
    <x v="2"/>
    <x v="2"/>
  </r>
  <r>
    <x v="4"/>
    <x v="189"/>
    <s v="Maharashtra"/>
    <s v="Branch"/>
    <s v="NO"/>
    <n v="235"/>
    <n v="846"/>
    <s v="Rented"/>
    <d v="2025-08-13T00:00:00"/>
    <x v="3"/>
    <x v="3"/>
  </r>
  <r>
    <x v="4"/>
    <x v="190"/>
    <s v="Gujarat"/>
    <s v="Branch"/>
    <s v="NO"/>
    <n v="226"/>
    <n v="1315"/>
    <s v="Rented"/>
    <d v="2025-10-08T00:00:00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n v="1"/>
    <n v="1"/>
    <s v="Western Region"/>
    <x v="0"/>
    <s v="Regulation 62-H(55)"/>
    <x v="0"/>
    <s v="1-CA(24)61"/>
    <d v="1962-03-19T00:00:00"/>
    <s v="Gujarat"/>
    <s v="AHMEDABAD"/>
    <x v="0"/>
    <x v="0"/>
    <x v="0"/>
    <m/>
  </r>
  <r>
    <n v="2"/>
    <n v="2"/>
    <s v="Western Region"/>
    <x v="1"/>
    <s v="Regulation 62-H(55)"/>
    <x v="0"/>
    <s v="1-CA(24)/61"/>
    <d v="1962-03-19T00:00:00"/>
    <s v="Maharashtra"/>
    <s v="PUNE"/>
    <x v="0"/>
    <x v="0"/>
    <x v="0"/>
    <m/>
  </r>
  <r>
    <n v="3"/>
    <n v="3"/>
    <s v="Western Region"/>
    <x v="2"/>
    <s v="136(1)"/>
    <x v="1"/>
    <s v="1-CA(24)67"/>
    <d v="1967-12-01T00:00:00"/>
    <s v="Gujarat"/>
    <s v="BARODA"/>
    <x v="1"/>
    <x v="0"/>
    <x v="1"/>
    <m/>
  </r>
  <r>
    <n v="4"/>
    <n v="4"/>
    <s v="Western Region"/>
    <x v="3"/>
    <s v="136(1)"/>
    <x v="2"/>
    <s v="1-CA(42)/71"/>
    <d v="1971-08-18T00:00:00"/>
    <s v="Gujarat"/>
    <s v="SURAT"/>
    <x v="2"/>
    <x v="0"/>
    <x v="0"/>
    <m/>
  </r>
  <r>
    <n v="5"/>
    <n v="5"/>
    <s v="Western Region"/>
    <x v="4"/>
    <s v="136(1)"/>
    <x v="3"/>
    <s v="1-CA(67)/74"/>
    <d v="1974-05-15T00:00:00"/>
    <s v="Goa"/>
    <s v="GOA"/>
    <x v="3"/>
    <x v="0"/>
    <x v="2"/>
    <m/>
  </r>
  <r>
    <n v="6"/>
    <n v="6"/>
    <s v="Western Region"/>
    <x v="5"/>
    <s v="136(1)"/>
    <x v="4"/>
    <s v="28(RC)/1/7/77"/>
    <d v="1978-01-19T00:00:00"/>
    <s v="Gujarat"/>
    <s v="RAJKOT"/>
    <x v="4"/>
    <x v="1"/>
    <x v="1"/>
    <m/>
  </r>
  <r>
    <n v="7"/>
    <n v="7"/>
    <s v="Western Region"/>
    <x v="6"/>
    <s v="136(1)"/>
    <x v="5"/>
    <s v="28-(RC)/1/4/70"/>
    <d v="1978-06-05T00:00:00"/>
    <s v="Maharashtra"/>
    <s v="NAGPUR"/>
    <x v="5"/>
    <x v="1"/>
    <x v="1"/>
    <m/>
  </r>
  <r>
    <n v="8"/>
    <n v="8"/>
    <s v="Western Region"/>
    <x v="7"/>
    <s v="136(1)"/>
    <x v="6"/>
    <s v="28-RC(1)/8/81"/>
    <d v="1981-07-28T00:00:00"/>
    <s v="Maharashtra"/>
    <s v="KOLHAPUR"/>
    <x v="6"/>
    <x v="1"/>
    <x v="2"/>
    <m/>
  </r>
  <r>
    <n v="9"/>
    <n v="9"/>
    <s v="Western Region"/>
    <x v="8"/>
    <s v="136(1)"/>
    <x v="6"/>
    <s v="28-RC((1)/9/81"/>
    <d v="1981-07-28T00:00:00"/>
    <s v="Maharashtra"/>
    <s v="NASHIK"/>
    <x v="6"/>
    <x v="1"/>
    <x v="3"/>
    <m/>
  </r>
  <r>
    <n v="10"/>
    <n v="10"/>
    <s v="Western Region"/>
    <x v="9"/>
    <s v="136(1)"/>
    <x v="7"/>
    <s v="28-RC(1)/10/85"/>
    <d v="1985-08-05T00:00:00"/>
    <s v="Maharashtra"/>
    <s v="SOLAPUR"/>
    <x v="7"/>
    <x v="1"/>
    <x v="4"/>
    <m/>
  </r>
  <r>
    <n v="11"/>
    <n v="11"/>
    <s v="Western Region"/>
    <x v="10"/>
    <s v="136(1)"/>
    <x v="8"/>
    <s v="28-RC(1)/11/86"/>
    <d v="1986-01-20T00:00:00"/>
    <s v="Maharashtra"/>
    <s v="AURANGABAD"/>
    <x v="7"/>
    <x v="1"/>
    <x v="3"/>
    <m/>
  </r>
  <r>
    <n v="12"/>
    <n v="12"/>
    <s v="Western Region"/>
    <x v="11"/>
    <s v="136(1)"/>
    <x v="9"/>
    <s v="28-RC(1)/12/86"/>
    <d v="1986-04-28T00:00:00"/>
    <s v="Gujarat"/>
    <s v="ANAND"/>
    <x v="8"/>
    <x v="1"/>
    <x v="4"/>
    <m/>
  </r>
  <r>
    <n v="13"/>
    <n v="13"/>
    <s v="Western Region"/>
    <x v="12"/>
    <s v="136(1)"/>
    <x v="10"/>
    <s v="28-RC(1)/13/87"/>
    <d v="1987-05-21T00:00:00"/>
    <s v="Maharashtra"/>
    <s v="JALGAON"/>
    <x v="9"/>
    <x v="1"/>
    <x v="2"/>
    <m/>
  </r>
  <r>
    <n v="14"/>
    <n v="14"/>
    <s v="Western Region"/>
    <x v="13"/>
    <s v="136(1)"/>
    <x v="10"/>
    <s v="28-RC(1)/14/87"/>
    <d v="1987-05-21T00:00:00"/>
    <s v="Maharashtra"/>
    <s v="Sangali"/>
    <x v="9"/>
    <x v="1"/>
    <x v="4"/>
    <m/>
  </r>
  <r>
    <n v="15"/>
    <n v="15"/>
    <s v="Western Region"/>
    <x v="14"/>
    <s v="159(1)"/>
    <x v="11"/>
    <s v="1-CA(7)/62/2002"/>
    <d v="2002-04-04T00:00:00"/>
    <s v="Gujarat"/>
    <s v="JAMNAGAR"/>
    <x v="10"/>
    <x v="2"/>
    <x v="2"/>
    <m/>
  </r>
  <r>
    <n v="16"/>
    <n v="16"/>
    <s v="Western Region"/>
    <x v="15"/>
    <s v="159(1)"/>
    <x v="12"/>
    <s v="1-CA(7)68/2002"/>
    <d v="2002-10-29T00:00:00"/>
    <s v="Maharashtra"/>
    <s v="AHMEDNAGAR"/>
    <x v="11"/>
    <x v="2"/>
    <x v="2"/>
    <m/>
  </r>
  <r>
    <n v="17"/>
    <n v="17"/>
    <s v="Western Region"/>
    <x v="16"/>
    <s v="159(1)"/>
    <x v="13"/>
    <s v="1-CA(7)/70/2003"/>
    <d v="2003-10-03T00:00:00"/>
    <s v="Maharashtra"/>
    <s v="AKOLA"/>
    <x v="12"/>
    <x v="2"/>
    <x v="2"/>
    <m/>
  </r>
  <r>
    <n v="18"/>
    <n v="18"/>
    <s v="Western Region"/>
    <x v="17"/>
    <s v="159(1)"/>
    <x v="14"/>
    <s v="1-CA(7)85/2005"/>
    <d v="2005-04-28T00:00:00"/>
    <s v="Maharashtra"/>
    <s v="THANE"/>
    <x v="13"/>
    <x v="2"/>
    <x v="0"/>
    <m/>
  </r>
  <r>
    <n v="19"/>
    <n v="19"/>
    <s v="Western Region"/>
    <x v="18"/>
    <s v="159(1)"/>
    <x v="14"/>
    <s v="1-CA(7)/84/2005"/>
    <d v="2005-04-28T00:00:00"/>
    <s v="Maharashtra"/>
    <s v="VASAI"/>
    <x v="13"/>
    <x v="2"/>
    <x v="1"/>
    <m/>
  </r>
  <r>
    <n v="20"/>
    <n v="20"/>
    <s v="Western Region"/>
    <x v="19"/>
    <s v="159(1)"/>
    <x v="15"/>
    <s v="1-CA(7)/89/2006"/>
    <d v="2006-02-03T00:00:00"/>
    <s v="Maharashtra"/>
    <s v="NAVI MUMBAI"/>
    <x v="14"/>
    <x v="2"/>
    <x v="1"/>
    <m/>
  </r>
  <r>
    <n v="21"/>
    <n v="21"/>
    <s v="Western Region"/>
    <x v="20"/>
    <s v="159(1)"/>
    <x v="16"/>
    <s v="1-CA(7)95/2006"/>
    <d v="2006-09-27T00:00:00"/>
    <s v="Gujarat"/>
    <s v="BHARUCH"/>
    <x v="15"/>
    <x v="2"/>
    <x v="4"/>
    <m/>
  </r>
  <r>
    <n v="22"/>
    <n v="22"/>
    <s v="Western Region"/>
    <x v="21"/>
    <s v="159(1)"/>
    <x v="17"/>
    <s v="1-CA(7)/(114)/2008"/>
    <d v="2008-03-31T00:00:00"/>
    <s v="Maharashtra"/>
    <s v="AMRAVATI"/>
    <x v="16"/>
    <x v="2"/>
    <x v="2"/>
    <m/>
  </r>
  <r>
    <n v="23"/>
    <n v="23"/>
    <s v="Western Region"/>
    <x v="22"/>
    <s v="159(1)"/>
    <x v="17"/>
    <s v="1-CA(7)/115/2008"/>
    <d v="2008-03-31T00:00:00"/>
    <s v="Maharashtra"/>
    <s v="PIMPRI CHINCHWAD"/>
    <x v="16"/>
    <x v="2"/>
    <x v="1"/>
    <m/>
  </r>
  <r>
    <n v="24"/>
    <n v="24"/>
    <s v="Western Region"/>
    <x v="23"/>
    <s v="159(1)"/>
    <x v="18"/>
    <s v="1-CA(7)/(127)/2009"/>
    <d v="2009-07-16T00:00:00"/>
    <s v="Gujarat"/>
    <s v="VAPI"/>
    <x v="17"/>
    <x v="2"/>
    <x v="2"/>
    <m/>
  </r>
  <r>
    <n v="25"/>
    <n v="25"/>
    <s v="Western Region"/>
    <x v="24"/>
    <s v="159(1)"/>
    <x v="19"/>
    <s v="1-CA(7)128/2010"/>
    <d v="2010-01-12T00:00:00"/>
    <s v="Gujarat"/>
    <s v="GANDHIDHAM"/>
    <x v="17"/>
    <x v="2"/>
    <x v="2"/>
    <m/>
  </r>
  <r>
    <n v="26"/>
    <n v="26"/>
    <s v="Western Region"/>
    <x v="25"/>
    <s v="159(1)"/>
    <x v="20"/>
    <s v="1-CA/(7)/130/2010"/>
    <d v="2010-02-02T00:00:00"/>
    <s v="Gujarat"/>
    <s v="BHAVNAGAR"/>
    <x v="17"/>
    <x v="2"/>
    <x v="2"/>
    <m/>
  </r>
  <r>
    <n v="27"/>
    <n v="27"/>
    <s v="Western Region"/>
    <x v="26"/>
    <s v="159(1)"/>
    <x v="21"/>
    <s v="1-CA(7)/(137)/2010"/>
    <d v="2010-07-19T00:00:00"/>
    <s v="Maharashtra"/>
    <s v="LATUR"/>
    <x v="18"/>
    <x v="2"/>
    <x v="4"/>
    <m/>
  </r>
  <r>
    <n v="28"/>
    <n v="28"/>
    <s v="Western Region"/>
    <x v="27"/>
    <s v="159(1A)"/>
    <x v="22"/>
    <s v="1-CA(7)/(150)/2013"/>
    <d v="2013-04-25T00:00:00"/>
    <s v="Maharashtra"/>
    <s v="SATARA"/>
    <x v="19"/>
    <x v="2"/>
    <x v="4"/>
    <m/>
  </r>
  <r>
    <n v="29"/>
    <n v="29"/>
    <s v="Western Region"/>
    <x v="28"/>
    <s v="159(1A)"/>
    <x v="22"/>
    <s v="1-CA(7)/(151)/2013"/>
    <d v="2013-04-25T00:00:00"/>
    <s v="Gujarat"/>
    <s v="NAVSARI"/>
    <x v="19"/>
    <x v="2"/>
    <x v="4"/>
    <m/>
  </r>
  <r>
    <n v="30"/>
    <n v="30"/>
    <s v="Western Region"/>
    <x v="29"/>
    <s v="159(1A)"/>
    <x v="23"/>
    <s v="1-CA(7)/(155)/2013"/>
    <d v="2013-06-03T00:00:00"/>
    <s v="Maharashtra"/>
    <s v="NANDED"/>
    <x v="20"/>
    <x v="2"/>
    <x v="4"/>
    <m/>
  </r>
  <r>
    <n v="31"/>
    <n v="31"/>
    <s v="Western Region"/>
    <x v="30"/>
    <s v="159(1A)"/>
    <x v="23"/>
    <s v="1-CA(7)/(156)/2013"/>
    <d v="2013-06-03T00:00:00"/>
    <s v="Maharashtra"/>
    <s v="DHULE"/>
    <x v="20"/>
    <x v="2"/>
    <x v="4"/>
    <m/>
  </r>
  <r>
    <n v="32"/>
    <n v="32"/>
    <s v="Western Region"/>
    <x v="31"/>
    <s v="159(1)"/>
    <x v="24"/>
    <s v="1-CA(7)/(171)/2015"/>
    <d v="2015-08-21T00:00:00"/>
    <s v="Gujarat"/>
    <s v="BHUJ"/>
    <x v="21"/>
    <x v="2"/>
    <x v="4"/>
    <m/>
  </r>
  <r>
    <n v="33"/>
    <n v="33"/>
    <s v="Western Region"/>
    <x v="32"/>
    <s v="159(1)"/>
    <x v="25"/>
    <s v="1-CA(7)/(176)/2016"/>
    <d v="2016-02-01T00:00:00"/>
    <s v="Maharashtra"/>
    <s v="KALYAN"/>
    <x v="21"/>
    <x v="2"/>
    <x v="1"/>
    <m/>
  </r>
  <r>
    <n v="34"/>
    <n v="34"/>
    <s v="Western Region"/>
    <x v="33"/>
    <s v="159(1A)"/>
    <x v="26"/>
    <s v="1-CA(7)/(181)/2016"/>
    <d v="2016-10-19T00:00:00"/>
    <s v="Maharashtra"/>
    <s v="Ratnagiri"/>
    <x v="22"/>
    <x v="2"/>
    <x v="4"/>
    <m/>
  </r>
  <r>
    <n v="35"/>
    <n v="35"/>
    <s v="Western Region"/>
    <x v="34"/>
    <s v="159(1)"/>
    <x v="26"/>
    <s v="1-CA(7)/(182)/2016"/>
    <d v="2016-10-19T00:00:00"/>
    <s v="Maharashtra"/>
    <s v="Inchakaranji"/>
    <x v="22"/>
    <x v="2"/>
    <x v="4"/>
    <m/>
  </r>
  <r>
    <n v="36"/>
    <n v="36"/>
    <s v="Western Region"/>
    <x v="35"/>
    <s v="159(1)"/>
    <x v="27"/>
    <s v="1-CA(7)/(207)/2023"/>
    <d v="2023-03-29T00:00:00"/>
    <s v="Gujarat"/>
    <s v="GANDHINAGAR"/>
    <x v="23"/>
    <x v="2"/>
    <x v="2"/>
    <m/>
  </r>
  <r>
    <n v="37"/>
    <n v="37"/>
    <s v="Western Region"/>
    <x v="36"/>
    <s v="159(1A)"/>
    <x v="28"/>
    <s v="1-CA(7)/(235)/2025"/>
    <d v="2025-08-28T00:00:00"/>
    <s v="Maharashtra"/>
    <s v="GONDIA"/>
    <x v="24"/>
    <x v="2"/>
    <x v="4"/>
    <s v="New Branch"/>
  </r>
  <r>
    <n v="38"/>
    <n v="38"/>
    <s v="Western Region"/>
    <x v="37"/>
    <s v="159(1A)"/>
    <x v="29"/>
    <s v="1-CA(7)/(238)/2025"/>
    <d v="2025-11-04T00:00:00"/>
    <s v="Gujarat"/>
    <s v="Morbi District"/>
    <x v="24"/>
    <x v="2"/>
    <x v="4"/>
    <s v="New Branch"/>
  </r>
  <r>
    <n v="39"/>
    <n v="1"/>
    <s v="Southern Region"/>
    <x v="38"/>
    <s v="Regulation 62-H(55)"/>
    <x v="0"/>
    <s v="1-CA(24)/61"/>
    <d v="1962-03-19T00:00:00"/>
    <s v="Karnataka"/>
    <s v="BANGALORE"/>
    <x v="0"/>
    <x v="0"/>
    <x v="0"/>
    <m/>
  </r>
  <r>
    <n v="40"/>
    <n v="2"/>
    <s v="Southern Region"/>
    <x v="39"/>
    <s v="Regulation 62-H(55)"/>
    <x v="0"/>
    <s v="1-CA(24)/61"/>
    <d v="1962-03-19T00:00:00"/>
    <s v="Tamil Nadu"/>
    <s v="COIMBATORE"/>
    <x v="0"/>
    <x v="0"/>
    <x v="3"/>
    <m/>
  </r>
  <r>
    <n v="41"/>
    <n v="3"/>
    <s v="Southern Region"/>
    <x v="40"/>
    <s v="Regulation 62-H(55)"/>
    <x v="0"/>
    <s v="1-CA(24)/61"/>
    <d v="1962-03-19T00:00:00"/>
    <s v="Talangana"/>
    <s v="HYDERABAD"/>
    <x v="0"/>
    <x v="0"/>
    <x v="0"/>
    <m/>
  </r>
  <r>
    <n v="42"/>
    <n v="4"/>
    <s v="Southern Region"/>
    <x v="41"/>
    <s v="Regulation 62-H(55)"/>
    <x v="0"/>
    <s v="1-CA(24)/61"/>
    <d v="1962-03-19T00:00:00"/>
    <s v="Tamil Nadu"/>
    <s v="MADURAI"/>
    <x v="0"/>
    <x v="0"/>
    <x v="2"/>
    <m/>
  </r>
  <r>
    <n v="43"/>
    <n v="5"/>
    <s v="Southern Region"/>
    <x v="42"/>
    <s v="136(1)"/>
    <x v="30"/>
    <s v="1-CA(24)/67"/>
    <d v="1967-11-06T00:00:00"/>
    <s v="Kerala"/>
    <s v="Ernakulum"/>
    <x v="1"/>
    <x v="0"/>
    <x v="1"/>
    <m/>
  </r>
  <r>
    <n v="44"/>
    <n v="6"/>
    <s v="Southern Region"/>
    <x v="43"/>
    <s v="136(1)"/>
    <x v="2"/>
    <s v="1-CA(42)/71"/>
    <d v="1971-08-18T00:00:00"/>
    <s v="Karnataka"/>
    <s v="MANGALORE"/>
    <x v="2"/>
    <x v="0"/>
    <x v="3"/>
    <m/>
  </r>
  <r>
    <n v="45"/>
    <n v="7"/>
    <s v="Southern Region"/>
    <x v="44"/>
    <s v="136(1)"/>
    <x v="2"/>
    <s v="1-CA(42)/71"/>
    <d v="1971-08-18T00:00:00"/>
    <s v="Tamil Nadu"/>
    <s v="SALEM"/>
    <x v="2"/>
    <x v="0"/>
    <x v="2"/>
    <m/>
  </r>
  <r>
    <n v="46"/>
    <n v="8"/>
    <s v="Southern Region"/>
    <x v="45"/>
    <s v="136(1)"/>
    <x v="2"/>
    <s v="1-CA(42)/71"/>
    <d v="1971-08-18T00:00:00"/>
    <s v="Tamil Nadu"/>
    <s v="Tiruchirappalli"/>
    <x v="2"/>
    <x v="0"/>
    <x v="2"/>
    <m/>
  </r>
  <r>
    <n v="47"/>
    <n v="9"/>
    <s v="Southern Region"/>
    <x v="46"/>
    <s v="136(1)"/>
    <x v="2"/>
    <s v="1-CA(42)/71"/>
    <d v="1971-08-18T00:00:00"/>
    <s v="Andhra Pradesh"/>
    <s v="VIJAYAWADA"/>
    <x v="2"/>
    <x v="0"/>
    <x v="3"/>
    <m/>
  </r>
  <r>
    <n v="48"/>
    <n v="10"/>
    <s v="Southern Region"/>
    <x v="47"/>
    <s v="136(1)"/>
    <x v="31"/>
    <s v="1-CA(50)/72"/>
    <d v="1972-02-01T00:00:00"/>
    <s v="Kerala"/>
    <s v="TRIVANDRUM"/>
    <x v="2"/>
    <x v="0"/>
    <x v="3"/>
    <m/>
  </r>
  <r>
    <n v="49"/>
    <n v="11"/>
    <s v="Southern Region"/>
    <x v="48"/>
    <s v="136(1)"/>
    <x v="32"/>
    <s v="1-CA(69)/74"/>
    <d v="1974-06-10T00:00:00"/>
    <s v="Karnataka"/>
    <s v="BELGAUM"/>
    <x v="3"/>
    <x v="0"/>
    <x v="4"/>
    <m/>
  </r>
  <r>
    <n v="50"/>
    <n v="12"/>
    <s v="Southern Region"/>
    <x v="49"/>
    <s v="136(1)"/>
    <x v="33"/>
    <s v="1-CA(101)/77"/>
    <d v="1977-05-11T00:00:00"/>
    <s v="Andhra Pradesh"/>
    <s v="VISAKHAPATNAM"/>
    <x v="4"/>
    <x v="1"/>
    <x v="3"/>
    <m/>
  </r>
  <r>
    <n v="51"/>
    <n v="13"/>
    <s v="Southern Region"/>
    <x v="50"/>
    <s v="136(1)"/>
    <x v="34"/>
    <s v="28-RC(2)/8/80"/>
    <d v="1980-04-25T00:00:00"/>
    <s v="Tamil Nadu"/>
    <s v="KUMBAKONAM"/>
    <x v="25"/>
    <x v="1"/>
    <x v="4"/>
    <m/>
  </r>
  <r>
    <n v="52"/>
    <n v="14"/>
    <s v="Southern Region"/>
    <x v="51"/>
    <s v="136(1)"/>
    <x v="35"/>
    <s v="28-RC(2)/13/80"/>
    <d v="1980-09-15T00:00:00"/>
    <s v="Tamil Nadu"/>
    <s v="TIRUNELVELI"/>
    <x v="25"/>
    <x v="1"/>
    <x v="4"/>
    <m/>
  </r>
  <r>
    <n v="53"/>
    <n v="15"/>
    <s v="Southern Region"/>
    <x v="52"/>
    <s v="136(1)"/>
    <x v="36"/>
    <s v="28-RC(2)/14/81"/>
    <d v="1981-05-06T00:00:00"/>
    <s v="Kerala"/>
    <s v="KOTTAYAM"/>
    <x v="6"/>
    <x v="1"/>
    <x v="2"/>
    <m/>
  </r>
  <r>
    <n v="54"/>
    <n v="16"/>
    <s v="Southern Region"/>
    <x v="53"/>
    <s v="136(1)"/>
    <x v="36"/>
    <s v="28-RC(2)/15/81"/>
    <d v="1981-05-06T00:00:00"/>
    <s v="Kerala"/>
    <s v="THRISSUR"/>
    <x v="6"/>
    <x v="1"/>
    <x v="3"/>
    <m/>
  </r>
  <r>
    <n v="55"/>
    <n v="17"/>
    <s v="Southern Region"/>
    <x v="54"/>
    <s v="136(1)"/>
    <x v="37"/>
    <s v="28-RC(2)/15/81"/>
    <d v="1981-09-24T00:00:00"/>
    <s v="Kerala"/>
    <s v="ALLEPPEY"/>
    <x v="6"/>
    <x v="1"/>
    <x v="2"/>
    <m/>
  </r>
  <r>
    <n v="56"/>
    <n v="18"/>
    <s v="Southern Region"/>
    <x v="55"/>
    <s v="136(1)"/>
    <x v="38"/>
    <s v="28-RC(2)/17/82"/>
    <d v="1982-01-11T00:00:00"/>
    <s v="Andhra Pradesh"/>
    <s v="GUNTUR"/>
    <x v="6"/>
    <x v="1"/>
    <x v="3"/>
    <m/>
  </r>
  <r>
    <n v="57"/>
    <n v="19"/>
    <s v="Southern Region"/>
    <x v="56"/>
    <s v="136(1)"/>
    <x v="39"/>
    <s v="28-RC(2)/18/82"/>
    <d v="1982-03-18T00:00:00"/>
    <s v="Kerala"/>
    <s v="CALICUT"/>
    <x v="6"/>
    <x v="1"/>
    <x v="3"/>
    <m/>
  </r>
  <r>
    <n v="58"/>
    <n v="20"/>
    <s v="Southern Region"/>
    <x v="57"/>
    <s v="136(1)"/>
    <x v="40"/>
    <s v="28-RC(2)/19/82"/>
    <d v="1982-07-24T00:00:00"/>
    <s v="Karnataka"/>
    <s v="MYSORE"/>
    <x v="26"/>
    <x v="1"/>
    <x v="2"/>
    <m/>
  </r>
  <r>
    <n v="59"/>
    <n v="21"/>
    <s v="Southern Region"/>
    <x v="58"/>
    <s v="136(1)"/>
    <x v="41"/>
    <s v="28-RC(2)/22/85"/>
    <d v="1985-10-09T00:00:00"/>
    <s v="Tamil Nadu"/>
    <s v="ERODE"/>
    <x v="7"/>
    <x v="1"/>
    <x v="4"/>
    <m/>
  </r>
  <r>
    <n v="60"/>
    <n v="22"/>
    <s v="Southern Region"/>
    <x v="59"/>
    <s v="136(1)"/>
    <x v="41"/>
    <s v="28-RC(2)21/85"/>
    <d v="1985-09-18T00:00:00"/>
    <s v="Karnataka"/>
    <s v="HUBLI"/>
    <x v="7"/>
    <x v="1"/>
    <x v="4"/>
    <m/>
  </r>
  <r>
    <n v="61"/>
    <n v="23"/>
    <s v="Southern Region"/>
    <x v="60"/>
    <s v="136(1)"/>
    <x v="9"/>
    <s v="28-RC(2)/23/86"/>
    <d v="1986-04-28T00:00:00"/>
    <s v="Pondicherry"/>
    <s v="PONDICHERRY"/>
    <x v="8"/>
    <x v="1"/>
    <x v="4"/>
    <m/>
  </r>
  <r>
    <n v="62"/>
    <n v="24"/>
    <s v="Southern Region"/>
    <x v="61"/>
    <s v="136(1)"/>
    <x v="42"/>
    <s v="28-RC(2)/25/87"/>
    <d v="1987-08-24T00:00:00"/>
    <s v="Kerala"/>
    <s v="QUILON"/>
    <x v="9"/>
    <x v="1"/>
    <x v="4"/>
    <m/>
  </r>
  <r>
    <n v="63"/>
    <n v="25"/>
    <s v="Southern Region"/>
    <x v="62"/>
    <s v="136(1)"/>
    <x v="43"/>
    <s v="28-RC(2)/24/87"/>
    <d v="1987-08-13T00:00:00"/>
    <s v="Tamil Nadu"/>
    <s v="VELLORE"/>
    <x v="9"/>
    <x v="1"/>
    <x v="4"/>
    <m/>
  </r>
  <r>
    <n v="64"/>
    <n v="26"/>
    <s v="Southern Region"/>
    <x v="63"/>
    <s v="136(1)"/>
    <x v="44"/>
    <s v="28-RC(2)/26/88"/>
    <d v="1988-01-13T00:00:00"/>
    <s v="Kerala"/>
    <s v="PALGHAT"/>
    <x v="9"/>
    <x v="1"/>
    <x v="2"/>
    <m/>
  </r>
  <r>
    <n v="65"/>
    <n v="27"/>
    <s v="Southern Region"/>
    <x v="64"/>
    <s v="159(1)"/>
    <x v="45"/>
    <s v="28-RC(2)/27/89"/>
    <d v="1989-06-29T00:00:00"/>
    <s v="Tamil Nadu"/>
    <s v="TIRUPUR"/>
    <x v="27"/>
    <x v="1"/>
    <x v="2"/>
    <m/>
  </r>
  <r>
    <n v="66"/>
    <n v="28"/>
    <s v="Southern Region"/>
    <x v="65"/>
    <s v="159(1)"/>
    <x v="46"/>
    <s v="28-RC(2)/25/90"/>
    <d v="1990-10-05T00:00:00"/>
    <s v="Tamil Nadu"/>
    <s v="TUTICORIN"/>
    <x v="28"/>
    <x v="1"/>
    <x v="4"/>
    <m/>
  </r>
  <r>
    <n v="67"/>
    <n v="29"/>
    <s v="Southern Region"/>
    <x v="66"/>
    <s v="159(1)"/>
    <x v="47"/>
    <s v="1-CA(7)/58/2001"/>
    <d v="2001-05-10T00:00:00"/>
    <s v="Karnataka"/>
    <s v="UDUPI"/>
    <x v="10"/>
    <x v="2"/>
    <x v="2"/>
    <m/>
  </r>
  <r>
    <n v="68"/>
    <n v="30"/>
    <s v="Southern Region"/>
    <x v="67"/>
    <s v="159(1)"/>
    <x v="48"/>
    <s v="1-CA(7)/90/2006"/>
    <d v="2006-05-31T00:00:00"/>
    <s v="Andhra Pradesh"/>
    <s v="RAJAMAHENDRAVARAM"/>
    <x v="15"/>
    <x v="2"/>
    <x v="2"/>
    <m/>
  </r>
  <r>
    <n v="69"/>
    <n v="31"/>
    <s v="Southern Region"/>
    <x v="68"/>
    <s v="159(1)"/>
    <x v="16"/>
    <s v="1-CA(7)/94/2006"/>
    <d v="2006-09-27T00:00:00"/>
    <s v="Karnataka"/>
    <s v="BELLARY"/>
    <x v="15"/>
    <x v="2"/>
    <x v="4"/>
    <m/>
  </r>
  <r>
    <n v="70"/>
    <n v="32"/>
    <s v="Southern Region"/>
    <x v="69"/>
    <s v="159(1)"/>
    <x v="16"/>
    <s v="1-CA(7)/97/2006"/>
    <d v="2006-09-27T00:00:00"/>
    <s v="Andhra Pradesh"/>
    <s v="KAKINADA"/>
    <x v="15"/>
    <x v="2"/>
    <x v="2"/>
    <m/>
  </r>
  <r>
    <n v="71"/>
    <n v="33"/>
    <s v="Southern Region"/>
    <x v="70"/>
    <s v="159(1)"/>
    <x v="49"/>
    <s v="1-CA(7)/100/2006"/>
    <d v="2007-01-02T00:00:00"/>
    <s v="Andhra Pradesh"/>
    <s v="NELLORE"/>
    <x v="15"/>
    <x v="2"/>
    <x v="2"/>
    <m/>
  </r>
  <r>
    <n v="72"/>
    <n v="34"/>
    <s v="Southern Region"/>
    <x v="71"/>
    <s v="159(1)"/>
    <x v="20"/>
    <s v="1-CA(7)/(129)/2010"/>
    <d v="2010-02-02T00:00:00"/>
    <s v="Andhra Pradesh"/>
    <s v="Tirupati"/>
    <x v="17"/>
    <x v="2"/>
    <x v="3"/>
    <m/>
  </r>
  <r>
    <n v="73"/>
    <n v="35"/>
    <s v="Southern Region"/>
    <x v="72"/>
    <s v="159(1)"/>
    <x v="50"/>
    <s v="1-CA(7)/143/2012"/>
    <d v="2012-01-09T00:00:00"/>
    <s v="Tamil Nadu"/>
    <s v="SIVAKASI"/>
    <x v="29"/>
    <x v="2"/>
    <x v="4"/>
    <m/>
  </r>
  <r>
    <n v="74"/>
    <n v="36"/>
    <s v="Southern Region"/>
    <x v="73"/>
    <s v="159(1)"/>
    <x v="51"/>
    <s v="1-CA(7)/144/2012"/>
    <d v="2012-01-09T00:00:00"/>
    <s v="Kerala"/>
    <s v="KANNUR"/>
    <x v="29"/>
    <x v="2"/>
    <x v="2"/>
    <m/>
  </r>
  <r>
    <n v="75"/>
    <n v="37"/>
    <s v="Southern Region"/>
    <x v="74"/>
    <s v="159(1A)"/>
    <x v="52"/>
    <s v="1-CA(7)/(159)2014"/>
    <d v="2014-01-06T00:00:00"/>
    <s v="Telangana"/>
    <s v="KARIMNAGAR"/>
    <x v="20"/>
    <x v="2"/>
    <x v="2"/>
    <m/>
  </r>
  <r>
    <n v="76"/>
    <n v="38"/>
    <s v="Southern Region"/>
    <x v="75"/>
    <s v="159(1A)"/>
    <x v="52"/>
    <s v="1-CA(7)/(160)2014"/>
    <d v="2014-01-06T00:00:00"/>
    <s v="Talangana"/>
    <s v="WARANGAL"/>
    <x v="20"/>
    <x v="2"/>
    <x v="4"/>
    <m/>
  </r>
  <r>
    <n v="77"/>
    <n v="39"/>
    <s v="Southern Region"/>
    <x v="76"/>
    <s v="159(1)"/>
    <x v="52"/>
    <s v="1-CA(7)/(161)2014"/>
    <d v="2014-01-06T00:00:00"/>
    <s v="Andhra Pradesh"/>
    <s v="ONGOLE"/>
    <x v="20"/>
    <x v="2"/>
    <x v="2"/>
    <m/>
  </r>
  <r>
    <n v="78"/>
    <n v="40"/>
    <s v="Southern Region"/>
    <x v="77"/>
    <s v="159(1A)"/>
    <x v="53"/>
    <s v="1-CA(7)/(163)2014"/>
    <d v="2014-02-10T00:00:00"/>
    <s v="Andhra Pradesh"/>
    <s v="KURNOOL"/>
    <x v="20"/>
    <x v="2"/>
    <x v="2"/>
    <m/>
  </r>
  <r>
    <n v="79"/>
    <n v="41"/>
    <s v="Southern Region"/>
    <x v="78"/>
    <s v="159(1A)"/>
    <x v="54"/>
    <s v="1-CA(7)/(165)2014"/>
    <d v="2014-04-04T00:00:00"/>
    <s v="Andhra Pradesh"/>
    <s v="ANANTAPUR"/>
    <x v="20"/>
    <x v="2"/>
    <x v="2"/>
    <m/>
  </r>
  <r>
    <n v="80"/>
    <n v="42"/>
    <s v="Southern Region"/>
    <x v="79"/>
    <s v="159(1A)"/>
    <x v="55"/>
    <s v="1-CA(7)/(170)2015"/>
    <d v="2015-04-06T00:00:00"/>
    <s v="Karnataka"/>
    <s v="Kalaburgi"/>
    <x v="30"/>
    <x v="2"/>
    <x v="4"/>
    <m/>
  </r>
  <r>
    <n v="81"/>
    <n v="43"/>
    <s v="Southern Region"/>
    <x v="80"/>
    <s v="159(1A)"/>
    <x v="56"/>
    <s v="1-CA(7)/(177)/2016"/>
    <d v="2016-04-08T00:00:00"/>
    <s v="Tamil Nadu"/>
    <s v="KANCHIPURAM"/>
    <x v="21"/>
    <x v="2"/>
    <x v="1"/>
    <m/>
  </r>
  <r>
    <n v="82"/>
    <n v="44"/>
    <s v="Southern Region"/>
    <x v="81"/>
    <s v="159(1A)"/>
    <x v="56"/>
    <s v="1-CA(7)/(173)2015"/>
    <d v="2015-08-21T00:00:00"/>
    <s v="Andhra Pradesh"/>
    <s v="WEST GODAVARI"/>
    <x v="21"/>
    <x v="2"/>
    <x v="2"/>
    <m/>
  </r>
  <r>
    <n v="83"/>
    <n v="45"/>
    <s v="Southern Region"/>
    <x v="82"/>
    <s v="159(1A)"/>
    <x v="57"/>
    <s v="1-CA(7)/(188)/2017"/>
    <d v="2017-02-10T00:00:00"/>
    <s v="Andhra Pradesh"/>
    <s v="KADAPA"/>
    <x v="22"/>
    <x v="2"/>
    <x v="2"/>
    <m/>
  </r>
  <r>
    <n v="84"/>
    <n v="46"/>
    <s v="Southern Region"/>
    <x v="83"/>
    <s v="159(1A)"/>
    <x v="58"/>
    <s v="1-CA(7)/224/2024"/>
    <d v="2024-08-20T00:00:00"/>
    <s v="Andhra Pradesh"/>
    <s v="VIZIANAGARAM"/>
    <x v="31"/>
    <x v="2"/>
    <x v="4"/>
    <m/>
  </r>
  <r>
    <n v="85"/>
    <n v="47"/>
    <s v="Southern Region"/>
    <x v="84"/>
    <s v="159(1)"/>
    <x v="59"/>
    <s v="1-CA(7)/228/2025"/>
    <d v="2025-06-06T00:00:00"/>
    <s v="Telangana"/>
    <s v="Khammam "/>
    <x v="24"/>
    <x v="2"/>
    <x v="4"/>
    <s v="New Branch"/>
  </r>
  <r>
    <n v="86"/>
    <n v="48"/>
    <s v="Southern Region"/>
    <x v="85"/>
    <s v="159(1)"/>
    <x v="59"/>
    <s v="1-CA(7)/229/2025"/>
    <d v="2025-06-06T00:00:00"/>
    <s v="Telangana"/>
    <s v="Nizamabad "/>
    <x v="24"/>
    <x v="2"/>
    <x v="4"/>
    <s v="New Branch"/>
  </r>
  <r>
    <n v="87"/>
    <n v="1"/>
    <s v="Eastern Region"/>
    <x v="86"/>
    <s v="136(1)"/>
    <x v="60"/>
    <s v="1-CA(73)/74"/>
    <d v="1974-09-17T00:00:00"/>
    <s v="West Bengal"/>
    <s v="ASANSOL"/>
    <x v="3"/>
    <x v="0"/>
    <x v="4"/>
    <m/>
  </r>
  <r>
    <n v="88"/>
    <n v="2"/>
    <s v="Eastern Region"/>
    <x v="87"/>
    <s v="136(1)"/>
    <x v="61"/>
    <s v="28-RC(3)/3/77"/>
    <d v="1977-10-22T00:00:00"/>
    <s v="Assam"/>
    <s v="GUWAHATI"/>
    <x v="4"/>
    <x v="1"/>
    <x v="3"/>
    <m/>
  </r>
  <r>
    <n v="89"/>
    <n v="3"/>
    <s v="Eastern Region"/>
    <x v="88"/>
    <s v="136(1)"/>
    <x v="62"/>
    <s v="28-RC(3)/3/79"/>
    <d v="1979-12-20T00:00:00"/>
    <s v="Odisha"/>
    <s v="Bhubaneshwar"/>
    <x v="32"/>
    <x v="1"/>
    <x v="3"/>
    <m/>
  </r>
  <r>
    <n v="90"/>
    <n v="4"/>
    <s v="Eastern Region"/>
    <x v="89"/>
    <s v="159(1)"/>
    <x v="63"/>
    <s v="28-RC(3)/4/90"/>
    <d v="1990-02-07T00:00:00"/>
    <s v="Odisha"/>
    <s v="CUTTACK"/>
    <x v="27"/>
    <x v="1"/>
    <x v="4"/>
    <m/>
  </r>
  <r>
    <n v="91"/>
    <n v="5"/>
    <s v="Eastern Region"/>
    <x v="90"/>
    <s v="159(1)"/>
    <x v="64"/>
    <s v="28-RC(3)/5/90"/>
    <d v="1990-04-17T00:00:00"/>
    <s v="West Bengal"/>
    <s v="DURGAPUR"/>
    <x v="27"/>
    <x v="1"/>
    <x v="4"/>
    <m/>
  </r>
  <r>
    <n v="92"/>
    <n v="6"/>
    <s v="Eastern Region"/>
    <x v="91"/>
    <s v="159(1)"/>
    <x v="46"/>
    <s v="28-RC(3)/24/90"/>
    <d v="1990-10-05T00:00:00"/>
    <s v="West Bengal"/>
    <s v="SILIGURI"/>
    <x v="28"/>
    <x v="1"/>
    <x v="2"/>
    <m/>
  </r>
  <r>
    <n v="93"/>
    <n v="7"/>
    <s v="Eastern Region"/>
    <x v="92"/>
    <s v="159(1)"/>
    <x v="65"/>
    <s v="1-CA(7)/38/98"/>
    <d v="1998-12-15T00:00:00"/>
    <s v="Odisha"/>
    <s v="ROURKELA"/>
    <x v="33"/>
    <x v="1"/>
    <x v="4"/>
    <m/>
  </r>
  <r>
    <n v="94"/>
    <n v="8"/>
    <s v="Eastern Region"/>
    <x v="93"/>
    <s v="159(1)"/>
    <x v="48"/>
    <s v="1-CA(7)/91/2006"/>
    <d v="2006-05-31T00:00:00"/>
    <s v="Odisha"/>
    <s v="SAMBALPUR"/>
    <x v="15"/>
    <x v="2"/>
    <x v="4"/>
    <m/>
  </r>
  <r>
    <n v="95"/>
    <n v="9"/>
    <s v="Eastern Region"/>
    <x v="94"/>
    <s v="159(1A)"/>
    <x v="52"/>
    <s v="1-CA(7)/(157)2014"/>
    <d v="2014-01-06T00:00:00"/>
    <s v="Assam"/>
    <s v="DIBRUGARH"/>
    <x v="20"/>
    <x v="2"/>
    <x v="4"/>
    <m/>
  </r>
  <r>
    <n v="96"/>
    <n v="10"/>
    <s v="Eastern Region"/>
    <x v="95"/>
    <s v="159(1A)"/>
    <x v="52"/>
    <s v="1-CA(7)/(158)2014"/>
    <d v="2014-01-06T00:00:00"/>
    <s v="Assam"/>
    <s v="TINSUKIA"/>
    <x v="20"/>
    <x v="2"/>
    <x v="4"/>
    <m/>
  </r>
  <r>
    <n v="97"/>
    <n v="11"/>
    <s v="Eastern Region"/>
    <x v="96"/>
    <s v="159(1)"/>
    <x v="53"/>
    <s v="1-CA(7)/(164)2014"/>
    <d v="2014-02-10T00:00:00"/>
    <s v="West Bengal"/>
    <s v="RANIGANJ"/>
    <x v="20"/>
    <x v="2"/>
    <x v="4"/>
    <m/>
  </r>
  <r>
    <n v="98"/>
    <n v="12"/>
    <s v="Eastern Region"/>
    <x v="97"/>
    <s v="159(1A)"/>
    <x v="66"/>
    <s v="1-CA(7)/(179)/2016"/>
    <d v="2016-09-14T00:00:00"/>
    <s v="Odisha"/>
    <s v="JHARSUGUDA"/>
    <x v="22"/>
    <x v="2"/>
    <x v="4"/>
    <m/>
  </r>
  <r>
    <n v="99"/>
    <n v="13"/>
    <s v="Eastern Region"/>
    <x v="98"/>
    <s v="159(1A)"/>
    <x v="67"/>
    <s v="1-CA(7)/(180)/2016"/>
    <d v="2016-09-29T00:00:00"/>
    <s v="Odisha"/>
    <s v="BRAHMAPUR"/>
    <x v="22"/>
    <x v="2"/>
    <x v="4"/>
    <m/>
  </r>
  <r>
    <n v="100"/>
    <n v="1"/>
    <s v="Central Region"/>
    <x v="99"/>
    <s v="136(1)"/>
    <x v="68"/>
    <s v="1-CA(38)/70"/>
    <d v="1970-07-06T00:00:00"/>
    <s v="Rajasthan"/>
    <s v="JAIPUR"/>
    <x v="34"/>
    <x v="0"/>
    <x v="0"/>
    <m/>
  </r>
  <r>
    <n v="101"/>
    <n v="2"/>
    <s v="Central Region"/>
    <x v="100"/>
    <s v="136(1)"/>
    <x v="2"/>
    <s v="1-CA(47)/71"/>
    <d v="1971-08-23T00:00:00"/>
    <s v="Madhya Pradesh"/>
    <s v="INDORE"/>
    <x v="2"/>
    <x v="0"/>
    <x v="0"/>
    <m/>
  </r>
  <r>
    <n v="102"/>
    <n v="3"/>
    <s v="Central Region"/>
    <x v="101"/>
    <s v="136(1)"/>
    <x v="2"/>
    <s v="1-CA(47)71"/>
    <d v="1971-08-23T00:00:00"/>
    <s v="Jharkhand"/>
    <s v="JAMSHEDPUR"/>
    <x v="2"/>
    <x v="0"/>
    <x v="2"/>
    <m/>
  </r>
  <r>
    <n v="103"/>
    <n v="4"/>
    <s v="Central Region"/>
    <x v="102"/>
    <s v="136(1)"/>
    <x v="69"/>
    <s v="1-CA(83)75"/>
    <d v="1975-07-16T00:00:00"/>
    <s v="Uttar Pradesh"/>
    <s v="GHAZIABAD"/>
    <x v="35"/>
    <x v="0"/>
    <x v="1"/>
    <m/>
  </r>
  <r>
    <n v="104"/>
    <n v="5"/>
    <s v="Central Region"/>
    <x v="103"/>
    <s v="136(1)"/>
    <x v="70"/>
    <s v="1-CA(97)76"/>
    <d v="1976-11-09T00:00:00"/>
    <s v="Rajasthan"/>
    <s v="JODHPUR"/>
    <x v="36"/>
    <x v="1"/>
    <x v="1"/>
    <m/>
  </r>
  <r>
    <n v="105"/>
    <n v="6"/>
    <s v="Central Region"/>
    <x v="104"/>
    <s v="136(1)"/>
    <x v="71"/>
    <s v="28-RC(3)/4/80"/>
    <d v="1980-08-01T00:00:00"/>
    <s v="Uttar Pradesh"/>
    <s v="AGRA"/>
    <x v="25"/>
    <x v="1"/>
    <x v="3"/>
    <m/>
  </r>
  <r>
    <n v="106"/>
    <n v="7"/>
    <s v="Central Region"/>
    <x v="105"/>
    <s v="136(1)"/>
    <x v="71"/>
    <s v="28-RC(4)/4/80"/>
    <d v="1980-08-01T00:00:00"/>
    <s v="Uttar Pradesh"/>
    <s v="LUCKNOW"/>
    <x v="25"/>
    <x v="1"/>
    <x v="1"/>
    <m/>
  </r>
  <r>
    <n v="107"/>
    <n v="8"/>
    <s v="Central Region"/>
    <x v="106"/>
    <s v="136(1)"/>
    <x v="72"/>
    <s v="28-RC(4)/7/80"/>
    <d v="1981-01-02T00:00:00"/>
    <s v="Madhya Pradesh"/>
    <s v="BHOPAL"/>
    <x v="25"/>
    <x v="1"/>
    <x v="3"/>
    <m/>
  </r>
  <r>
    <n v="108"/>
    <n v="9"/>
    <s v="Central Region"/>
    <x v="107"/>
    <s v="136(1)"/>
    <x v="73"/>
    <s v="28-RC(4)/6/80"/>
    <d v="1981-05-01T00:00:00"/>
    <s v="Chhattisgarh"/>
    <s v="RAIPUR"/>
    <x v="6"/>
    <x v="1"/>
    <x v="3"/>
    <m/>
  </r>
  <r>
    <n v="109"/>
    <n v="10"/>
    <s v="Central Region"/>
    <x v="108"/>
    <s v="136(1)"/>
    <x v="74"/>
    <s v="28-RC(4)/8/82"/>
    <d v="1982-09-20T00:00:00"/>
    <s v="Bihar"/>
    <s v="PATNA"/>
    <x v="26"/>
    <x v="1"/>
    <x v="3"/>
    <m/>
  </r>
  <r>
    <n v="110"/>
    <n v="11"/>
    <s v="Central Region"/>
    <x v="109"/>
    <s v="136(1)"/>
    <x v="75"/>
    <s v="28-RC(4)/11/84"/>
    <d v="1984-02-23T00:00:00"/>
    <s v="Rajasthan"/>
    <s v="UDAIPUR"/>
    <x v="37"/>
    <x v="1"/>
    <x v="3"/>
    <m/>
  </r>
  <r>
    <n v="111"/>
    <n v="12"/>
    <s v="Central Region"/>
    <x v="110"/>
    <s v="136(1)"/>
    <x v="7"/>
    <s v="28-RC(4)/12/85"/>
    <d v="1985-09-03T00:00:00"/>
    <s v="Uttar Pradesh"/>
    <s v="ALLAHABAD"/>
    <x v="7"/>
    <x v="1"/>
    <x v="2"/>
    <m/>
  </r>
  <r>
    <n v="112"/>
    <n v="13"/>
    <s v="Central Region"/>
    <x v="111"/>
    <s v="136(1)"/>
    <x v="41"/>
    <s v="28-RC(4)/13/85"/>
    <d v="1985-09-18T00:00:00"/>
    <s v="Rajasthan"/>
    <s v="KOTA"/>
    <x v="7"/>
    <x v="1"/>
    <x v="3"/>
    <m/>
  </r>
  <r>
    <n v="113"/>
    <n v="14"/>
    <s v="Central Region"/>
    <x v="112"/>
    <s v="136(1)"/>
    <x v="8"/>
    <s v="28-RC(4)/14/86"/>
    <d v="1986-05-12T00:00:00"/>
    <s v="Uttar Pradesh"/>
    <s v="MEERUT"/>
    <x v="7"/>
    <x v="1"/>
    <x v="3"/>
    <m/>
  </r>
  <r>
    <n v="114"/>
    <n v="15"/>
    <s v="Central Region"/>
    <x v="113"/>
    <s v="136(1)"/>
    <x v="76"/>
    <s v="28-RC(4)/15/87"/>
    <d v="1987-04-06T00:00:00"/>
    <s v="Jharkhand"/>
    <s v="RANCHI"/>
    <x v="8"/>
    <x v="1"/>
    <x v="3"/>
    <m/>
  </r>
  <r>
    <n v="115"/>
    <n v="16"/>
    <s v="Central Region"/>
    <x v="114"/>
    <s v="136(1)"/>
    <x v="77"/>
    <s v="28-RC(4)/16/87"/>
    <d v="1987-10-20T00:00:00"/>
    <s v="Madhya Pradesh"/>
    <s v="GWALIOR"/>
    <x v="9"/>
    <x v="1"/>
    <x v="2"/>
    <m/>
  </r>
  <r>
    <n v="116"/>
    <n v="17"/>
    <s v="Central Region"/>
    <x v="115"/>
    <s v="136(1)"/>
    <x v="44"/>
    <s v="28-RC(4)/17/88"/>
    <d v="1988-01-15T00:00:00"/>
    <s v="Rajasthan"/>
    <s v="BHILWARA"/>
    <x v="9"/>
    <x v="1"/>
    <x v="3"/>
    <m/>
  </r>
  <r>
    <n v="117"/>
    <n v="18"/>
    <s v="Central Region"/>
    <x v="116"/>
    <s v="136(1)"/>
    <x v="78"/>
    <s v="28-RC(4)/18/88"/>
    <d v="1988-05-23T00:00:00"/>
    <s v="Uttarakhand"/>
    <s v="DEHRADUN"/>
    <x v="38"/>
    <x v="1"/>
    <x v="3"/>
    <m/>
  </r>
  <r>
    <n v="118"/>
    <n v="19"/>
    <s v="Central Region"/>
    <x v="117"/>
    <s v="159(1)"/>
    <x v="79"/>
    <s v="28-RC(4)/19/88"/>
    <d v="1988-09-01T00:00:00"/>
    <s v="Uttar Pradesh"/>
    <s v="BAREILLY"/>
    <x v="38"/>
    <x v="1"/>
    <x v="2"/>
    <m/>
  </r>
  <r>
    <n v="119"/>
    <n v="20"/>
    <s v="Central Region"/>
    <x v="118"/>
    <s v="159(1)"/>
    <x v="80"/>
    <s v="28-RC(4)/20/89"/>
    <d v="1989-01-02T00:00:00"/>
    <s v="Uttar Pradesh"/>
    <s v="VARANASI"/>
    <x v="38"/>
    <x v="1"/>
    <x v="2"/>
    <m/>
  </r>
  <r>
    <n v="120"/>
    <n v="21"/>
    <s v="Central Region"/>
    <x v="119"/>
    <s v="159(1)"/>
    <x v="81"/>
    <s v="28-RC(4)/21/89"/>
    <d v="1989-03-31T00:00:00"/>
    <s v="Rajasthan"/>
    <s v="ALWAR"/>
    <x v="38"/>
    <x v="1"/>
    <x v="2"/>
    <m/>
  </r>
  <r>
    <n v="121"/>
    <n v="22"/>
    <s v="Central Region"/>
    <x v="120"/>
    <s v="159(1)"/>
    <x v="63"/>
    <s v="28-RC(4)/22/90"/>
    <d v="1990-02-07T00:00:00"/>
    <s v="Jharkhand"/>
    <s v="DHANBAD"/>
    <x v="27"/>
    <x v="1"/>
    <x v="2"/>
    <m/>
  </r>
  <r>
    <n v="122"/>
    <n v="23"/>
    <s v="Central Region"/>
    <x v="121"/>
    <s v="159(1)"/>
    <x v="46"/>
    <s v="28-RC(4)/23/90"/>
    <d v="1990-10-05T00:00:00"/>
    <s v="Rajasthan"/>
    <s v="AJMER"/>
    <x v="28"/>
    <x v="1"/>
    <x v="2"/>
    <m/>
  </r>
  <r>
    <n v="123"/>
    <n v="24"/>
    <s v="Central Region"/>
    <x v="122"/>
    <s v="159(1)"/>
    <x v="82"/>
    <s v="28-RC(4)/1/91"/>
    <d v="1991-03-25T00:00:00"/>
    <s v="Uttar Pradesh"/>
    <s v="NOIDA"/>
    <x v="28"/>
    <x v="1"/>
    <x v="1"/>
    <m/>
  </r>
  <r>
    <n v="124"/>
    <n v="25"/>
    <s v="Central Region"/>
    <x v="123"/>
    <s v="159(1)"/>
    <x v="83"/>
    <s v="1-CA(7)/35/98"/>
    <d v="1998-08-31T00:00:00"/>
    <s v="Uttar Pradesh"/>
    <s v="MATHURA"/>
    <x v="33"/>
    <x v="1"/>
    <x v="2"/>
    <m/>
  </r>
  <r>
    <n v="125"/>
    <n v="26"/>
    <s v="Central Region"/>
    <x v="124"/>
    <s v="159(1)"/>
    <x v="84"/>
    <s v="1-CA(7)/37/98"/>
    <d v="1998-11-26T00:00:00"/>
    <s v="Uttar Pradesh"/>
    <s v="MORADABAD"/>
    <x v="33"/>
    <x v="1"/>
    <x v="2"/>
    <m/>
  </r>
  <r>
    <n v="126"/>
    <n v="27"/>
    <s v="Central Region"/>
    <x v="125"/>
    <s v="159(1)"/>
    <x v="85"/>
    <s v="1-CA(7)/47/2000"/>
    <d v="2000-04-07T00:00:00"/>
    <s v="Uttar Pradesh"/>
    <s v="MUZAFFARNAGAR"/>
    <x v="39"/>
    <x v="1"/>
    <x v="2"/>
    <m/>
  </r>
  <r>
    <n v="127"/>
    <n v="28"/>
    <s v="Central Region"/>
    <x v="126"/>
    <s v="159(1)"/>
    <x v="85"/>
    <s v="1-CA(7)/48/2000"/>
    <d v="2000-04-07T00:00:00"/>
    <s v="Uttar Pradesh"/>
    <s v="SAHARANPUR"/>
    <x v="39"/>
    <x v="1"/>
    <x v="4"/>
    <m/>
  </r>
  <r>
    <n v="128"/>
    <n v="29"/>
    <s v="Central Region"/>
    <x v="127"/>
    <s v="159(1)"/>
    <x v="47"/>
    <s v="1-CA(7)/55/2001"/>
    <d v="2001-05-10T00:00:00"/>
    <s v="Chhattisgarh"/>
    <s v="BHILAI"/>
    <x v="10"/>
    <x v="2"/>
    <x v="2"/>
    <m/>
  </r>
  <r>
    <n v="129"/>
    <n v="30"/>
    <s v="Central Region"/>
    <x v="128"/>
    <s v="159(1)"/>
    <x v="86"/>
    <s v="1-CA(7)/76/2004"/>
    <d v="2004-06-29T00:00:00"/>
    <s v="Madhya Pradesh"/>
    <s v="JABALPUR"/>
    <x v="13"/>
    <x v="2"/>
    <x v="2"/>
    <m/>
  </r>
  <r>
    <n v="130"/>
    <n v="31"/>
    <s v="Central Region"/>
    <x v="129"/>
    <s v="159(1)"/>
    <x v="87"/>
    <s v="1-CA(7)/78/2004"/>
    <d v="2004-10-01T00:00:00"/>
    <s v="Madhya Pradesh"/>
    <s v="UJJAIN"/>
    <x v="13"/>
    <x v="2"/>
    <x v="2"/>
    <m/>
  </r>
  <r>
    <n v="131"/>
    <n v="32"/>
    <s v="Central Region"/>
    <x v="130"/>
    <s v="159(1)"/>
    <x v="88"/>
    <s v="1-CA(7)/86/2005"/>
    <d v="2005-08-24T00:00:00"/>
    <s v="Rajasthan"/>
    <s v="BIKANER"/>
    <x v="14"/>
    <x v="2"/>
    <x v="2"/>
    <m/>
  </r>
  <r>
    <n v="132"/>
    <n v="33"/>
    <s v="Central Region"/>
    <x v="131"/>
    <s v="159(1)"/>
    <x v="16"/>
    <s v="1-CA(7)/(96)/2006"/>
    <d v="2006-09-27T00:00:00"/>
    <s v="Uttar Pradesh"/>
    <s v="GORAKHPUR"/>
    <x v="15"/>
    <x v="2"/>
    <x v="2"/>
    <m/>
  </r>
  <r>
    <n v="133"/>
    <n v="34"/>
    <s v="Central Region"/>
    <x v="132"/>
    <s v="159(1)"/>
    <x v="49"/>
    <s v="1-CA(7)/(99)/2006"/>
    <d v="2007-01-02T00:00:00"/>
    <s v="Chhattisgarh"/>
    <s v="BILASPUR"/>
    <x v="15"/>
    <x v="2"/>
    <x v="4"/>
    <m/>
  </r>
  <r>
    <n v="134"/>
    <n v="35"/>
    <s v="Central Region"/>
    <x v="133"/>
    <s v="159(1)"/>
    <x v="89"/>
    <s v="1-CA(7)/(105)/2008"/>
    <d v="2008-01-18T00:00:00"/>
    <s v="Uttar Pradesh"/>
    <s v="ALIGARH"/>
    <x v="16"/>
    <x v="2"/>
    <x v="4"/>
    <m/>
  </r>
  <r>
    <n v="135"/>
    <n v="36"/>
    <s v="Central Region"/>
    <x v="134"/>
    <s v="159(1)"/>
    <x v="90"/>
    <s v="1-CA(7)/124/2008"/>
    <d v="2008-10-13T00:00:00"/>
    <s v="Rajasthan"/>
    <s v="BEAWAR"/>
    <x v="40"/>
    <x v="2"/>
    <x v="2"/>
    <m/>
  </r>
  <r>
    <n v="136"/>
    <n v="37"/>
    <s v="Central Region"/>
    <x v="135"/>
    <s v="159(1)"/>
    <x v="20"/>
    <s v="1-CA(7)/(131)/2010"/>
    <d v="2010-02-06T00:00:00"/>
    <s v="Rajasthan"/>
    <s v="PALI"/>
    <x v="17"/>
    <x v="2"/>
    <x v="4"/>
    <m/>
  </r>
  <r>
    <n v="137"/>
    <n v="38"/>
    <s v="Central Region"/>
    <x v="136"/>
    <s v="159(1)"/>
    <x v="20"/>
    <s v="1-CA(7)(133)/2010"/>
    <d v="2010-02-09T00:00:00"/>
    <s v="Madhya Pradesh"/>
    <s v="RATLAM"/>
    <x v="17"/>
    <x v="2"/>
    <x v="4"/>
    <m/>
  </r>
  <r>
    <n v="138"/>
    <n v="39"/>
    <s v="Central Region"/>
    <x v="137"/>
    <s v="159(1)"/>
    <x v="20"/>
    <s v="1-CA(7)132/2010"/>
    <d v="2010-02-09T00:00:00"/>
    <s v="Rajasthan"/>
    <s v="SRIGANGANAGAR"/>
    <x v="17"/>
    <x v="2"/>
    <x v="4"/>
    <m/>
  </r>
  <r>
    <n v="139"/>
    <n v="40"/>
    <s v="Central Region"/>
    <x v="138"/>
    <s v="159(1)"/>
    <x v="22"/>
    <s v="1-CA(7)/(147)/2013"/>
    <d v="2013-04-25T00:00:00"/>
    <s v="Rajasthan"/>
    <s v="KISHANGARH"/>
    <x v="19"/>
    <x v="2"/>
    <x v="2"/>
    <m/>
  </r>
  <r>
    <n v="140"/>
    <n v="41"/>
    <s v="Central Region"/>
    <x v="139"/>
    <s v="159(1A)"/>
    <x v="22"/>
    <s v="1-CA(7)/(148)/2013"/>
    <d v="2013-04-25T00:00:00"/>
    <s v="Uttar Pradesh"/>
    <s v="JHANSI"/>
    <x v="19"/>
    <x v="2"/>
    <x v="4"/>
    <m/>
  </r>
  <r>
    <n v="141"/>
    <n v="42"/>
    <s v="Central Region"/>
    <x v="140"/>
    <s v="159(1A)"/>
    <x v="22"/>
    <s v="1-CA(7)/(149)/2013"/>
    <d v="2013-04-25T00:00:00"/>
    <s v="Rajasthan"/>
    <s v="CHITTORGARH"/>
    <x v="19"/>
    <x v="2"/>
    <x v="2"/>
    <m/>
  </r>
  <r>
    <n v="142"/>
    <n v="43"/>
    <s v="Central Region"/>
    <x v="141"/>
    <s v="159(1A)"/>
    <x v="23"/>
    <s v="1-CA(7)/(152)/2013"/>
    <d v="2013-06-03T00:00:00"/>
    <s v="Rajasthan"/>
    <s v="SIKAR"/>
    <x v="20"/>
    <x v="2"/>
    <x v="2"/>
    <m/>
  </r>
  <r>
    <n v="143"/>
    <n v="44"/>
    <s v="Central Region"/>
    <x v="142"/>
    <s v="159(1A)"/>
    <x v="53"/>
    <s v="1-CA(7)/(162)/2013"/>
    <d v="2024-02-10T00:00:00"/>
    <s v="Rajasthan"/>
    <s v="BHARATPUR"/>
    <x v="20"/>
    <x v="2"/>
    <x v="4"/>
    <m/>
  </r>
  <r>
    <n v="144"/>
    <n v="45"/>
    <s v="Central Region"/>
    <x v="143"/>
    <s v="159(1)"/>
    <x v="55"/>
    <s v="1-CA(7)/(168)/2015"/>
    <d v="2015-04-06T00:00:00"/>
    <s v="Uttarakhand"/>
    <s v="HARIDWAR"/>
    <x v="30"/>
    <x v="2"/>
    <x v="4"/>
    <m/>
  </r>
  <r>
    <n v="145"/>
    <n v="46"/>
    <s v="Central Region"/>
    <x v="144"/>
    <s v="159(1)"/>
    <x v="55"/>
    <s v="1-CA(7)/(169)/2015"/>
    <d v="2015-04-06T00:00:00"/>
    <s v="Uttarakhand"/>
    <s v="HALDWANI"/>
    <x v="30"/>
    <x v="2"/>
    <x v="4"/>
    <m/>
  </r>
  <r>
    <n v="146"/>
    <n v="47"/>
    <s v="Central Region"/>
    <x v="145"/>
    <s v="159(1A)"/>
    <x v="91"/>
    <s v="1-CA(7)/189/2018"/>
    <d v="2018-05-08T00:00:00"/>
    <s v="Uttar Pradesh"/>
    <s v="BULANDSHAHR"/>
    <x v="41"/>
    <x v="2"/>
    <x v="4"/>
    <m/>
  </r>
  <r>
    <n v="147"/>
    <n v="48"/>
    <s v="Central Region"/>
    <x v="146"/>
    <s v="159(1)"/>
    <x v="92"/>
    <s v="1-CA(7)/202/2022"/>
    <d v="2022-06-06T00:00:00"/>
    <s v="Bihar"/>
    <s v="BHAGALPUR"/>
    <x v="23"/>
    <x v="2"/>
    <x v="4"/>
    <m/>
  </r>
  <r>
    <n v="148"/>
    <n v="49"/>
    <s v="Central Region"/>
    <x v="147"/>
    <s v="159(1A)"/>
    <x v="93"/>
    <s v="1-CA(7)/203/2022"/>
    <d v="2022-06-06T00:00:00"/>
    <s v="Rajasthan"/>
    <s v="HANUMANGARH"/>
    <x v="23"/>
    <x v="2"/>
    <x v="4"/>
    <m/>
  </r>
  <r>
    <n v="149"/>
    <n v="50"/>
    <s v="Central Region"/>
    <x v="148"/>
    <s v="159(1A)"/>
    <x v="94"/>
    <s v="1-CA(7)/204/2023"/>
    <d v="2023-02-25T00:00:00"/>
    <s v="Madhya Pradesh"/>
    <s v="SATNA"/>
    <x v="23"/>
    <x v="2"/>
    <x v="4"/>
    <m/>
  </r>
  <r>
    <n v="150"/>
    <n v="51"/>
    <s v="Central Region"/>
    <x v="149"/>
    <s v="159(1A)"/>
    <x v="95"/>
    <s v="1-CA(7)/209/2023"/>
    <d v="2023-09-29T00:00:00"/>
    <s v="Rajasthan"/>
    <s v="RAJSAMAND"/>
    <x v="42"/>
    <x v="2"/>
    <x v="4"/>
    <m/>
  </r>
  <r>
    <n v="151"/>
    <n v="52"/>
    <s v="Central Region"/>
    <x v="150"/>
    <s v="159(1A)"/>
    <x v="95"/>
    <s v="1-CA(7)/210/2023"/>
    <d v="2023-09-29T00:00:00"/>
    <s v="Madhya Pradesh"/>
    <s v="MANDSAUR"/>
    <x v="42"/>
    <x v="2"/>
    <x v="4"/>
    <m/>
  </r>
  <r>
    <n v="152"/>
    <n v="53"/>
    <s v="Central Region"/>
    <x v="151"/>
    <s v="159(1)"/>
    <x v="96"/>
    <s v="1-CA(7)/216/2024"/>
    <d v="2024-01-23T00:00:00"/>
    <s v="Bihar"/>
    <s v="DARBHANGA"/>
    <x v="42"/>
    <x v="2"/>
    <x v="4"/>
    <m/>
  </r>
  <r>
    <n v="153"/>
    <n v="54"/>
    <s v="Central Region"/>
    <x v="152"/>
    <s v="159(1A)"/>
    <x v="96"/>
    <s v="1-CA(7)/214/2024"/>
    <d v="2024-01-22T00:00:00"/>
    <s v="Bihar"/>
    <s v="MUZAFFARPUR"/>
    <x v="42"/>
    <x v="2"/>
    <x v="4"/>
    <m/>
  </r>
  <r>
    <n v="154"/>
    <n v="55"/>
    <s v="Central Region"/>
    <x v="153"/>
    <s v="159(1A)"/>
    <x v="96"/>
    <s v="1-CA(7)/215/2024"/>
    <d v="2024-01-22T00:00:00"/>
    <s v="Madhya Pradesh"/>
    <s v="NEEMUCH"/>
    <x v="42"/>
    <x v="2"/>
    <x v="4"/>
    <m/>
  </r>
  <r>
    <n v="155"/>
    <n v="56"/>
    <s v="Central Region"/>
    <x v="154"/>
    <s v="159(1)"/>
    <x v="97"/>
    <s v="1-CA(7)/217/2024"/>
    <d v="2024-03-28T00:00:00"/>
    <s v="Chhattisgarh"/>
    <s v="RAIGARH"/>
    <x v="42"/>
    <x v="2"/>
    <x v="4"/>
    <m/>
  </r>
  <r>
    <n v="156"/>
    <n v="57"/>
    <s v="Central Region"/>
    <x v="155"/>
    <s v="159(1A)"/>
    <x v="98"/>
    <s v="1-CA(7)/219/2024"/>
    <d v="2024-05-10T00:00:00"/>
    <s v="Rajasthan"/>
    <s v="TONK"/>
    <x v="31"/>
    <x v="2"/>
    <x v="4"/>
    <s v="New Branch"/>
  </r>
  <r>
    <n v="157"/>
    <n v="58"/>
    <s v="Central Region"/>
    <x v="156"/>
    <s v="159(1A)"/>
    <x v="99"/>
    <s v="1-CA(7)/232/2025"/>
    <d v="2025-07-23T00:00:00"/>
    <s v="Rajasthan"/>
    <s v="CHURU"/>
    <x v="24"/>
    <x v="2"/>
    <x v="4"/>
    <s v="New Branch"/>
  </r>
  <r>
    <n v="158"/>
    <n v="59"/>
    <s v="Central Region"/>
    <x v="157"/>
    <s v="159(1A)"/>
    <x v="99"/>
    <s v="1-CA(7)/233/2025"/>
    <d v="2025-07-23T00:00:00"/>
    <s v="Rajasthan"/>
    <s v="JHUNJHUNU"/>
    <x v="24"/>
    <x v="2"/>
    <x v="2"/>
    <s v="New Branch"/>
  </r>
  <r>
    <n v="159"/>
    <n v="60"/>
    <s v="Central Region"/>
    <x v="158"/>
    <s v="159(1A)"/>
    <x v="99"/>
    <s v="1-CA(7)/231/2025"/>
    <d v="2025-07-23T00:00:00"/>
    <s v="Rajasthan"/>
    <s v="NAGAUR"/>
    <x v="24"/>
    <x v="2"/>
    <x v="4"/>
    <s v="New Branch"/>
  </r>
  <r>
    <n v="160"/>
    <n v="61"/>
    <s v="Central Region"/>
    <x v="159"/>
    <s v="159(1)"/>
    <x v="29"/>
    <s v="1-CA(7)/236/2025"/>
    <d v="2025-11-04T00:00:00"/>
    <s v="Rajasthan"/>
    <s v="BHIWADI"/>
    <x v="24"/>
    <x v="2"/>
    <x v="4"/>
    <s v="New Branch"/>
  </r>
  <r>
    <n v="161"/>
    <n v="62"/>
    <s v="Central Region"/>
    <x v="160"/>
    <s v="159(1)"/>
    <x v="100"/>
    <s v="1-CA(7)/241/2025"/>
    <d v="2026-02-24T00:00:00"/>
    <s v="Chhattisgarh"/>
    <s v="KORBA"/>
    <x v="24"/>
    <x v="2"/>
    <x v="4"/>
    <m/>
  </r>
  <r>
    <n v="162"/>
    <n v="1"/>
    <s v="Norhtern Region"/>
    <x v="161"/>
    <s v="136(1)"/>
    <x v="101"/>
    <s v="1-CA(61)/73"/>
    <d v="1973-12-01T00:00:00"/>
    <s v="Chandigarh"/>
    <s v="CHANDIGARH"/>
    <x v="43"/>
    <x v="0"/>
    <x v="1"/>
    <m/>
  </r>
  <r>
    <n v="163"/>
    <n v="2"/>
    <s v="Norhtern Region"/>
    <x v="162"/>
    <s v="136(1)"/>
    <x v="60"/>
    <s v="1-CA(72)/74"/>
    <d v="1974-09-17T00:00:00"/>
    <s v="Punjab"/>
    <s v="LUDHIANA"/>
    <x v="3"/>
    <x v="0"/>
    <x v="1"/>
    <m/>
  </r>
  <r>
    <n v="164"/>
    <n v="3"/>
    <s v="Norhtern Region"/>
    <x v="163"/>
    <s v="136(1)"/>
    <x v="102"/>
    <s v="28-RC(1)/5/3/78"/>
    <d v="1978-11-03T00:00:00"/>
    <s v="Punjab"/>
    <s v="AMRITSAR"/>
    <x v="5"/>
    <x v="1"/>
    <x v="3"/>
    <m/>
  </r>
  <r>
    <n v="165"/>
    <n v="4"/>
    <s v="Norhtern Region"/>
    <x v="164"/>
    <s v="136(1)"/>
    <x v="34"/>
    <s v="28-RC(1)/5/4/80"/>
    <d v="1980-04-25T00:00:00"/>
    <s v="Haryana"/>
    <s v="FARIDABAD"/>
    <x v="25"/>
    <x v="1"/>
    <x v="1"/>
    <m/>
  </r>
  <r>
    <n v="166"/>
    <n v="5"/>
    <s v="Norhtern Region"/>
    <x v="165"/>
    <s v="136(1)"/>
    <x v="38"/>
    <s v="28-RC(5)/5/82"/>
    <d v="1982-01-11T00:00:00"/>
    <s v="Punjab"/>
    <s v="JALANDHAR"/>
    <x v="6"/>
    <x v="1"/>
    <x v="3"/>
    <m/>
  </r>
  <r>
    <n v="167"/>
    <n v="6"/>
    <s v="Norhtern Region"/>
    <x v="166"/>
    <s v="136(1)"/>
    <x v="10"/>
    <s v="28-RC(5)/6/87"/>
    <d v="1987-05-21T00:00:00"/>
    <s v="Haryana"/>
    <s v="YAMUNANAGAR"/>
    <x v="9"/>
    <x v="1"/>
    <x v="4"/>
    <m/>
  </r>
  <r>
    <n v="168"/>
    <n v="7"/>
    <s v="Norhtern Region"/>
    <x v="167"/>
    <s v="136(2)"/>
    <x v="42"/>
    <s v="28-RC(5)/7/87"/>
    <d v="1987-08-24T00:00:00"/>
    <s v="Jammu"/>
    <s v="JAMMU"/>
    <x v="9"/>
    <x v="1"/>
    <x v="2"/>
    <m/>
  </r>
  <r>
    <n v="169"/>
    <n v="8"/>
    <s v="Norhtern Region"/>
    <x v="168"/>
    <s v="159(2)"/>
    <x v="79"/>
    <s v="28-RC(9)/5/88"/>
    <d v="1988-09-01T00:00:00"/>
    <s v="Himachal Pradesh"/>
    <s v="SHIMLA"/>
    <x v="38"/>
    <x v="1"/>
    <x v="2"/>
    <m/>
  </r>
  <r>
    <n v="170"/>
    <n v="9"/>
    <s v="Norhtern Region"/>
    <x v="169"/>
    <s v="159(1)"/>
    <x v="79"/>
    <s v="28-RC(8)/5/88"/>
    <d v="1988-08-30T00:00:00"/>
    <s v="Haryana"/>
    <s v="HISAR"/>
    <x v="38"/>
    <x v="1"/>
    <x v="3"/>
    <m/>
  </r>
  <r>
    <n v="171"/>
    <n v="10"/>
    <s v="Norhtern Region"/>
    <x v="170"/>
    <s v="159(1)"/>
    <x v="83"/>
    <s v="1-CA(7)/36/98"/>
    <d v="1998-08-31T00:00:00"/>
    <s v="Haryana"/>
    <s v="ROHTAK"/>
    <x v="33"/>
    <x v="1"/>
    <x v="2"/>
    <m/>
  </r>
  <r>
    <n v="172"/>
    <n v="11"/>
    <s v="Norhtern Region"/>
    <x v="171"/>
    <s v="159(1)"/>
    <x v="103"/>
    <s v="1-CA(7)/40/99"/>
    <d v="1999-03-30T00:00:00"/>
    <s v="Haryana"/>
    <s v="GURGAON"/>
    <x v="33"/>
    <x v="1"/>
    <x v="0"/>
    <m/>
  </r>
  <r>
    <n v="173"/>
    <n v="12"/>
    <s v="Norhtern Region"/>
    <x v="172"/>
    <s v="159(1)"/>
    <x v="103"/>
    <s v="1-CA(7)/41/99"/>
    <d v="1999-03-30T00:00:00"/>
    <s v="Haryana"/>
    <s v="PANIPAT"/>
    <x v="33"/>
    <x v="1"/>
    <x v="2"/>
    <m/>
  </r>
  <r>
    <n v="174"/>
    <n v="13"/>
    <s v="Norhtern Region"/>
    <x v="173"/>
    <s v="159(1)"/>
    <x v="104"/>
    <s v="1-CA(7)/42/99"/>
    <d v="1999-07-08T00:00:00"/>
    <s v="Punjab"/>
    <s v="PATIALA"/>
    <x v="39"/>
    <x v="1"/>
    <x v="2"/>
    <m/>
  </r>
  <r>
    <n v="175"/>
    <n v="14"/>
    <s v="Norhtern Region"/>
    <x v="174"/>
    <s v="159(1)"/>
    <x v="85"/>
    <s v="1-CA(7)49/2000"/>
    <d v="2000-04-07T00:00:00"/>
    <s v="Haryana"/>
    <s v="AMBALA"/>
    <x v="39"/>
    <x v="1"/>
    <x v="2"/>
    <m/>
  </r>
  <r>
    <n v="176"/>
    <n v="15"/>
    <s v="Norhtern Region"/>
    <x v="175"/>
    <s v="159(1)"/>
    <x v="85"/>
    <s v="1-CA(7)/50/2000"/>
    <d v="2000-04-07T00:00:00"/>
    <s v="Punjab"/>
    <s v="Bathinda"/>
    <x v="39"/>
    <x v="1"/>
    <x v="3"/>
    <m/>
  </r>
  <r>
    <n v="177"/>
    <n v="16"/>
    <s v="Norhtern Region"/>
    <x v="176"/>
    <s v="159(1)"/>
    <x v="47"/>
    <s v="1-CA(7)/57/2001"/>
    <d v="2001-05-10T00:00:00"/>
    <s v="Haryana"/>
    <s v="SONEPAT"/>
    <x v="10"/>
    <x v="2"/>
    <x v="2"/>
    <m/>
  </r>
  <r>
    <n v="178"/>
    <n v="17"/>
    <s v="Norhtern Region"/>
    <x v="177"/>
    <s v="159(1)"/>
    <x v="105"/>
    <s v="1-CA(7)/72/2004"/>
    <d v="2004-04-29T00:00:00"/>
    <s v="Haryana"/>
    <s v="KARNAL"/>
    <x v="12"/>
    <x v="2"/>
    <x v="2"/>
    <m/>
  </r>
  <r>
    <n v="179"/>
    <n v="18"/>
    <s v="Norhtern Region"/>
    <x v="178"/>
    <s v="159(1)"/>
    <x v="106"/>
    <s v="1-CA(7)/98/2006"/>
    <d v="2007-01-16T00:00:00"/>
    <s v="Punjab"/>
    <s v="SANGRUR"/>
    <x v="15"/>
    <x v="2"/>
    <x v="2"/>
    <m/>
  </r>
  <r>
    <n v="180"/>
    <n v="19"/>
    <s v="Norhtern Region"/>
    <x v="179"/>
    <s v="159(1A)"/>
    <x v="23"/>
    <s v="1-CA(7)/(154)/2013"/>
    <d v="2013-06-03T00:00:00"/>
    <s v="Haryana"/>
    <s v="REWARI"/>
    <x v="20"/>
    <x v="2"/>
    <x v="4"/>
    <m/>
  </r>
  <r>
    <n v="181"/>
    <n v="20"/>
    <s v="Norhtern Region"/>
    <x v="180"/>
    <s v="159(1A)"/>
    <x v="23"/>
    <s v="1-CA(7)/(153)/2013"/>
    <d v="2013-06-03T00:00:00"/>
    <s v="Haryana"/>
    <s v="SIRSA"/>
    <x v="20"/>
    <x v="2"/>
    <x v="4"/>
    <m/>
  </r>
  <r>
    <n v="182"/>
    <n v="21"/>
    <s v="Norhtern Region"/>
    <x v="181"/>
    <s v="159(1A)"/>
    <x v="26"/>
    <s v="1-CA(7)/(186)/2016"/>
    <d v="2016-12-19T00:00:00"/>
    <s v="Haryana"/>
    <s v="BAHADURGARH"/>
    <x v="22"/>
    <x v="2"/>
    <x v="4"/>
    <m/>
  </r>
  <r>
    <n v="183"/>
    <n v="22"/>
    <s v="Norhtern Region"/>
    <x v="182"/>
    <s v="159(1A)"/>
    <x v="26"/>
    <s v="1.CA(7)/(184)/2016"/>
    <d v="2016-10-19T00:00:00"/>
    <s v="Haryana"/>
    <s v="BHIWANI"/>
    <x v="22"/>
    <x v="2"/>
    <x v="2"/>
    <m/>
  </r>
  <r>
    <n v="184"/>
    <n v="23"/>
    <s v="Norhtern Region"/>
    <x v="183"/>
    <s v="159(1A)"/>
    <x v="26"/>
    <s v="1.CA(7)/(185)/2016"/>
    <d v="2016-10-19T00:00:00"/>
    <s v="Haryana"/>
    <s v="KAITHAL"/>
    <x v="22"/>
    <x v="2"/>
    <x v="4"/>
    <m/>
  </r>
  <r>
    <n v="185"/>
    <n v="24"/>
    <s v="Norhtern Region"/>
    <x v="184"/>
    <s v="159(1A)"/>
    <x v="26"/>
    <s v="1.CA(7)/(183)/2016"/>
    <d v="2016-10-19T00:00:00"/>
    <s v="Haryana"/>
    <s v="KURUKSHETRA"/>
    <x v="22"/>
    <x v="2"/>
    <x v="4"/>
    <m/>
  </r>
  <r>
    <n v="186"/>
    <n v="25"/>
    <s v="Norhtern Region"/>
    <x v="185"/>
    <s v="159(1)"/>
    <x v="95"/>
    <s v="1-CA(7)/213/2023"/>
    <d v="2023-09-29T00:00:00"/>
    <s v="Punjab"/>
    <s v="Mandi Gobind Garh"/>
    <x v="42"/>
    <x v="2"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n v="1"/>
    <n v="1"/>
    <s v="Western Region"/>
    <x v="0"/>
    <s v="Regulation 62-H(55)"/>
    <x v="0"/>
    <s v="1-CA(24)61"/>
    <d v="1962-03-19T00:00:00"/>
    <s v="Gujarat"/>
    <s v="AHMEDABAD"/>
    <x v="0"/>
    <x v="0"/>
    <x v="0"/>
    <m/>
    <n v="2.56"/>
    <x v="0"/>
  </r>
  <r>
    <n v="2"/>
    <n v="2"/>
    <s v="Western Region"/>
    <x v="1"/>
    <s v="Regulation 62-H(55)"/>
    <x v="0"/>
    <s v="1-CA(24)/61"/>
    <d v="1962-03-19T00:00:00"/>
    <s v="Maharashtra"/>
    <s v="PUNE"/>
    <x v="0"/>
    <x v="0"/>
    <x v="0"/>
    <m/>
    <n v="2.56"/>
    <x v="0"/>
  </r>
  <r>
    <n v="3"/>
    <n v="3"/>
    <s v="Western Region"/>
    <x v="2"/>
    <s v="136(1)"/>
    <x v="1"/>
    <s v="1-CA(24)67"/>
    <d v="1967-12-01T00:00:00"/>
    <s v="Gujarat"/>
    <s v="BARODA"/>
    <x v="1"/>
    <x v="0"/>
    <x v="1"/>
    <m/>
    <n v="2.36"/>
    <x v="0"/>
  </r>
  <r>
    <n v="4"/>
    <n v="4"/>
    <s v="Western Region"/>
    <x v="3"/>
    <s v="136(1)"/>
    <x v="2"/>
    <s v="1-CA(42)/71"/>
    <d v="1971-08-18T00:00:00"/>
    <s v="Gujarat"/>
    <s v="SURAT"/>
    <x v="2"/>
    <x v="0"/>
    <x v="0"/>
    <m/>
    <n v="2.2000000000000002"/>
    <x v="0"/>
  </r>
  <r>
    <n v="5"/>
    <n v="5"/>
    <s v="Western Region"/>
    <x v="4"/>
    <s v="136(1)"/>
    <x v="3"/>
    <s v="1-CA(67)/74"/>
    <d v="1974-05-15T00:00:00"/>
    <s v="Goa"/>
    <s v="GOA"/>
    <x v="3"/>
    <x v="0"/>
    <x v="2"/>
    <m/>
    <n v="2.08"/>
    <x v="0"/>
  </r>
  <r>
    <n v="6"/>
    <n v="6"/>
    <s v="Western Region"/>
    <x v="5"/>
    <s v="136(1)"/>
    <x v="4"/>
    <s v="28(RC)/1/7/77"/>
    <d v="1978-01-19T00:00:00"/>
    <s v="Gujarat"/>
    <s v="RAJKOT"/>
    <x v="4"/>
    <x v="1"/>
    <x v="1"/>
    <m/>
    <n v="1.96"/>
    <x v="0"/>
  </r>
  <r>
    <n v="7"/>
    <n v="7"/>
    <s v="Western Region"/>
    <x v="6"/>
    <s v="136(1)"/>
    <x v="5"/>
    <s v="28-(RC)/1/4/70"/>
    <d v="1978-06-05T00:00:00"/>
    <s v="Maharashtra"/>
    <s v="NAGPUR"/>
    <x v="5"/>
    <x v="1"/>
    <x v="1"/>
    <m/>
    <n v="1.92"/>
    <x v="0"/>
  </r>
  <r>
    <n v="8"/>
    <n v="8"/>
    <s v="Western Region"/>
    <x v="7"/>
    <s v="136(1)"/>
    <x v="6"/>
    <s v="28-RC(1)/8/81"/>
    <d v="1981-07-28T00:00:00"/>
    <s v="Maharashtra"/>
    <s v="KOLHAPUR"/>
    <x v="6"/>
    <x v="1"/>
    <x v="2"/>
    <m/>
    <n v="1.8"/>
    <x v="0"/>
  </r>
  <r>
    <n v="9"/>
    <n v="9"/>
    <s v="Western Region"/>
    <x v="8"/>
    <s v="136(1)"/>
    <x v="6"/>
    <s v="28-RC((1)/9/81"/>
    <d v="1981-07-28T00:00:00"/>
    <s v="Maharashtra"/>
    <s v="NASHIK"/>
    <x v="6"/>
    <x v="1"/>
    <x v="3"/>
    <m/>
    <n v="1.8"/>
    <x v="0"/>
  </r>
  <r>
    <n v="10"/>
    <n v="10"/>
    <s v="Western Region"/>
    <x v="9"/>
    <s v="136(1)"/>
    <x v="7"/>
    <s v="28-RC(1)/10/85"/>
    <d v="1985-08-05T00:00:00"/>
    <s v="Maharashtra"/>
    <s v="SOLAPUR"/>
    <x v="7"/>
    <x v="1"/>
    <x v="4"/>
    <m/>
    <n v="1.64"/>
    <x v="0"/>
  </r>
  <r>
    <n v="11"/>
    <n v="11"/>
    <s v="Western Region"/>
    <x v="10"/>
    <s v="136(1)"/>
    <x v="8"/>
    <s v="28-RC(1)/11/86"/>
    <d v="1986-01-20T00:00:00"/>
    <s v="Maharashtra"/>
    <s v="AURANGABAD"/>
    <x v="7"/>
    <x v="1"/>
    <x v="3"/>
    <m/>
    <n v="1.64"/>
    <x v="0"/>
  </r>
  <r>
    <n v="12"/>
    <n v="12"/>
    <s v="Western Region"/>
    <x v="11"/>
    <s v="136(1)"/>
    <x v="9"/>
    <s v="28-RC(1)/12/86"/>
    <d v="1986-04-28T00:00:00"/>
    <s v="Gujarat"/>
    <s v="ANAND"/>
    <x v="8"/>
    <x v="1"/>
    <x v="4"/>
    <m/>
    <n v="1.6"/>
    <x v="0"/>
  </r>
  <r>
    <n v="13"/>
    <n v="13"/>
    <s v="Western Region"/>
    <x v="12"/>
    <s v="136(1)"/>
    <x v="10"/>
    <s v="28-RC(1)/13/87"/>
    <d v="1987-05-21T00:00:00"/>
    <s v="Maharashtra"/>
    <s v="JALGAON"/>
    <x v="9"/>
    <x v="1"/>
    <x v="2"/>
    <m/>
    <n v="1.56"/>
    <x v="0"/>
  </r>
  <r>
    <n v="14"/>
    <n v="14"/>
    <s v="Western Region"/>
    <x v="13"/>
    <s v="136(1)"/>
    <x v="10"/>
    <s v="28-RC(1)/14/87"/>
    <d v="1987-05-21T00:00:00"/>
    <s v="Maharashtra"/>
    <s v="Sangali"/>
    <x v="9"/>
    <x v="1"/>
    <x v="4"/>
    <m/>
    <n v="1.56"/>
    <x v="0"/>
  </r>
  <r>
    <n v="15"/>
    <n v="15"/>
    <s v="Western Region"/>
    <x v="14"/>
    <s v="159(1)"/>
    <x v="11"/>
    <s v="1-CA(7)/62/2002"/>
    <d v="2002-04-04T00:00:00"/>
    <s v="Gujarat"/>
    <s v="JAMNAGAR"/>
    <x v="10"/>
    <x v="1"/>
    <x v="2"/>
    <m/>
    <n v="1"/>
    <x v="1"/>
  </r>
  <r>
    <n v="16"/>
    <n v="16"/>
    <s v="Western Region"/>
    <x v="15"/>
    <s v="159(1)"/>
    <x v="12"/>
    <s v="1-CA(7)68/2002"/>
    <d v="2002-10-29T00:00:00"/>
    <s v="Maharashtra"/>
    <s v="AHMEDNAGAR"/>
    <x v="11"/>
    <x v="2"/>
    <x v="2"/>
    <m/>
    <n v="0.96"/>
    <x v="0"/>
  </r>
  <r>
    <n v="17"/>
    <n v="17"/>
    <s v="Western Region"/>
    <x v="16"/>
    <s v="159(1)"/>
    <x v="13"/>
    <s v="1-CA(7)/70/2003"/>
    <d v="2003-10-03T00:00:00"/>
    <s v="Maharashtra"/>
    <s v="AKOLA"/>
    <x v="12"/>
    <x v="2"/>
    <x v="2"/>
    <m/>
    <n v="0.92"/>
    <x v="0"/>
  </r>
  <r>
    <n v="18"/>
    <n v="18"/>
    <s v="Western Region"/>
    <x v="17"/>
    <s v="159(1)"/>
    <x v="14"/>
    <s v="1-CA(7)85/2005"/>
    <d v="2005-04-28T00:00:00"/>
    <s v="Maharashtra"/>
    <s v="THANE"/>
    <x v="13"/>
    <x v="2"/>
    <x v="0"/>
    <m/>
    <n v="0.88"/>
    <x v="0"/>
  </r>
  <r>
    <n v="19"/>
    <n v="19"/>
    <s v="Western Region"/>
    <x v="18"/>
    <s v="159(1)"/>
    <x v="14"/>
    <s v="1-CA(7)/84/2005"/>
    <d v="2005-04-28T00:00:00"/>
    <s v="Maharashtra"/>
    <s v="VASAI"/>
    <x v="13"/>
    <x v="2"/>
    <x v="1"/>
    <m/>
    <n v="0.88"/>
    <x v="0"/>
  </r>
  <r>
    <n v="20"/>
    <n v="20"/>
    <s v="Western Region"/>
    <x v="19"/>
    <s v="159(1)"/>
    <x v="15"/>
    <s v="1-CA(7)/89/2006"/>
    <d v="2006-02-03T00:00:00"/>
    <s v="Maharashtra"/>
    <s v="NAVI MUMBAI"/>
    <x v="14"/>
    <x v="2"/>
    <x v="1"/>
    <m/>
    <n v="0.84"/>
    <x v="0"/>
  </r>
  <r>
    <n v="21"/>
    <n v="21"/>
    <s v="Western Region"/>
    <x v="20"/>
    <s v="159(1)"/>
    <x v="16"/>
    <s v="1-CA(7)95/2006"/>
    <d v="2006-09-27T00:00:00"/>
    <s v="Gujarat"/>
    <s v="BHARUCH"/>
    <x v="15"/>
    <x v="2"/>
    <x v="4"/>
    <m/>
    <n v="0.8"/>
    <x v="0"/>
  </r>
  <r>
    <n v="22"/>
    <n v="22"/>
    <s v="Western Region"/>
    <x v="21"/>
    <s v="159(1)"/>
    <x v="17"/>
    <s v="1-CA(7)/(114)/2008"/>
    <d v="2008-03-31T00:00:00"/>
    <s v="Maharashtra"/>
    <s v="AMRAVATI"/>
    <x v="16"/>
    <x v="2"/>
    <x v="2"/>
    <m/>
    <n v="0.76"/>
    <x v="0"/>
  </r>
  <r>
    <n v="23"/>
    <n v="23"/>
    <s v="Western Region"/>
    <x v="22"/>
    <s v="159(1)"/>
    <x v="17"/>
    <s v="1-CA(7)/115/2008"/>
    <d v="2008-03-31T00:00:00"/>
    <s v="Maharashtra"/>
    <s v="PIMPRI CHINCHWAD"/>
    <x v="16"/>
    <x v="2"/>
    <x v="1"/>
    <m/>
    <n v="0.76"/>
    <x v="0"/>
  </r>
  <r>
    <n v="24"/>
    <n v="24"/>
    <s v="Western Region"/>
    <x v="23"/>
    <s v="159(1)"/>
    <x v="18"/>
    <s v="1-CA(7)/(127)/2009"/>
    <d v="2009-07-16T00:00:00"/>
    <s v="Gujarat"/>
    <s v="VAPI"/>
    <x v="17"/>
    <x v="2"/>
    <x v="2"/>
    <m/>
    <n v="0.68"/>
    <x v="0"/>
  </r>
  <r>
    <n v="25"/>
    <n v="25"/>
    <s v="Western Region"/>
    <x v="24"/>
    <s v="159(1)"/>
    <x v="19"/>
    <s v="1-CA(7)128/2010"/>
    <d v="2010-01-12T00:00:00"/>
    <s v="Gujarat"/>
    <s v="GANDHIDHAM"/>
    <x v="17"/>
    <x v="2"/>
    <x v="2"/>
    <m/>
    <n v="0.68"/>
    <x v="0"/>
  </r>
  <r>
    <n v="26"/>
    <n v="26"/>
    <s v="Western Region"/>
    <x v="25"/>
    <s v="159(1)"/>
    <x v="20"/>
    <s v="1-CA/(7)/130/2010"/>
    <d v="2010-02-02T00:00:00"/>
    <s v="Gujarat"/>
    <s v="BHAVNAGAR"/>
    <x v="17"/>
    <x v="2"/>
    <x v="2"/>
    <m/>
    <n v="0.68"/>
    <x v="0"/>
  </r>
  <r>
    <n v="27"/>
    <n v="27"/>
    <s v="Western Region"/>
    <x v="26"/>
    <s v="159(1)"/>
    <x v="21"/>
    <s v="1-CA(7)/(137)/2010"/>
    <d v="2010-07-19T00:00:00"/>
    <s v="Maharashtra"/>
    <s v="LATUR"/>
    <x v="18"/>
    <x v="2"/>
    <x v="4"/>
    <m/>
    <n v="0.64"/>
    <x v="0"/>
  </r>
  <r>
    <n v="28"/>
    <n v="28"/>
    <s v="Western Region"/>
    <x v="27"/>
    <s v="159(1A)"/>
    <x v="22"/>
    <s v="1-CA(7)/(150)/2013"/>
    <d v="2013-04-25T00:00:00"/>
    <s v="Maharashtra"/>
    <s v="SATARA"/>
    <x v="19"/>
    <x v="2"/>
    <x v="4"/>
    <m/>
    <n v="0.56000000000000005"/>
    <x v="0"/>
  </r>
  <r>
    <n v="29"/>
    <n v="29"/>
    <s v="Western Region"/>
    <x v="28"/>
    <s v="159(1A)"/>
    <x v="22"/>
    <s v="1-CA(7)/(151)/2013"/>
    <d v="2013-04-25T00:00:00"/>
    <s v="Gujarat"/>
    <s v="NAVSARI"/>
    <x v="19"/>
    <x v="2"/>
    <x v="4"/>
    <m/>
    <n v="0.56000000000000005"/>
    <x v="0"/>
  </r>
  <r>
    <n v="30"/>
    <n v="30"/>
    <s v="Western Region"/>
    <x v="29"/>
    <s v="159(1A)"/>
    <x v="23"/>
    <s v="1-CA(7)/(155)/2013"/>
    <d v="2013-06-03T00:00:00"/>
    <s v="Maharashtra"/>
    <s v="NANDED"/>
    <x v="20"/>
    <x v="2"/>
    <x v="4"/>
    <m/>
    <n v="0.52"/>
    <x v="0"/>
  </r>
  <r>
    <n v="31"/>
    <n v="31"/>
    <s v="Western Region"/>
    <x v="30"/>
    <s v="159(1A)"/>
    <x v="23"/>
    <s v="1-CA(7)/(156)/2013"/>
    <d v="2013-06-03T00:00:00"/>
    <s v="Maharashtra"/>
    <s v="DHULE"/>
    <x v="20"/>
    <x v="2"/>
    <x v="4"/>
    <m/>
    <n v="0.52"/>
    <x v="0"/>
  </r>
  <r>
    <n v="32"/>
    <n v="32"/>
    <s v="Western Region"/>
    <x v="31"/>
    <s v="159(1)"/>
    <x v="24"/>
    <s v="1-CA(7)/(171)/2015"/>
    <d v="2015-08-21T00:00:00"/>
    <s v="Gujarat"/>
    <s v="BHUJ"/>
    <x v="21"/>
    <x v="2"/>
    <x v="4"/>
    <m/>
    <n v="0.44"/>
    <x v="0"/>
  </r>
  <r>
    <n v="33"/>
    <n v="33"/>
    <s v="Western Region"/>
    <x v="32"/>
    <s v="159(1)"/>
    <x v="25"/>
    <s v="1-CA(7)/(176)/2016"/>
    <d v="2016-02-01T00:00:00"/>
    <s v="Maharashtra"/>
    <s v="KALYAN"/>
    <x v="21"/>
    <x v="2"/>
    <x v="1"/>
    <m/>
    <n v="0.44"/>
    <x v="0"/>
  </r>
  <r>
    <n v="34"/>
    <n v="34"/>
    <s v="Western Region"/>
    <x v="33"/>
    <s v="159(1A)"/>
    <x v="26"/>
    <s v="1-CA(7)/(181)/2016"/>
    <d v="2016-10-19T00:00:00"/>
    <s v="Maharashtra"/>
    <s v="Ratnagiri"/>
    <x v="22"/>
    <x v="2"/>
    <x v="4"/>
    <m/>
    <n v="0.4"/>
    <x v="0"/>
  </r>
  <r>
    <n v="35"/>
    <n v="35"/>
    <s v="Western Region"/>
    <x v="34"/>
    <s v="159(1)"/>
    <x v="26"/>
    <s v="1-CA(7)/(182)/2016"/>
    <d v="2016-10-19T00:00:00"/>
    <s v="Maharashtra"/>
    <s v="Inchakaranji"/>
    <x v="22"/>
    <x v="2"/>
    <x v="4"/>
    <m/>
    <n v="0.4"/>
    <x v="0"/>
  </r>
  <r>
    <n v="36"/>
    <n v="36"/>
    <s v="Western Region"/>
    <x v="35"/>
    <s v="159(1)"/>
    <x v="27"/>
    <s v="1-CA(7)/(207)/2023"/>
    <d v="2023-03-29T00:00:00"/>
    <s v="Gujarat"/>
    <s v="GANDHINAGAR"/>
    <x v="23"/>
    <x v="2"/>
    <x v="2"/>
    <m/>
    <n v="0.16"/>
    <x v="0"/>
  </r>
  <r>
    <n v="37"/>
    <n v="37"/>
    <s v="Western Region"/>
    <x v="36"/>
    <s v="159(1A)"/>
    <x v="28"/>
    <s v="1-CA(7)/(235)/2025"/>
    <d v="2025-08-28T00:00:00"/>
    <s v="Maharashtra"/>
    <s v="GONDIA"/>
    <x v="24"/>
    <x v="2"/>
    <x v="4"/>
    <s v="New Branch"/>
    <n v="0.04"/>
    <x v="0"/>
  </r>
  <r>
    <n v="38"/>
    <n v="38"/>
    <s v="Western Region"/>
    <x v="37"/>
    <s v="159(1A)"/>
    <x v="29"/>
    <s v="1-CA(7)/(238)/2025"/>
    <d v="2025-11-04T00:00:00"/>
    <s v="Gujarat"/>
    <s v="Morbi District"/>
    <x v="24"/>
    <x v="2"/>
    <x v="4"/>
    <s v="New Branch"/>
    <n v="0.04"/>
    <x v="0"/>
  </r>
  <r>
    <n v="39"/>
    <n v="1"/>
    <s v="Southern Region"/>
    <x v="38"/>
    <s v="Regulation 62-H(55)"/>
    <x v="0"/>
    <s v="1-CA(24)/61"/>
    <d v="1962-03-19T00:00:00"/>
    <s v="Karnataka"/>
    <s v="BANGALORE"/>
    <x v="0"/>
    <x v="0"/>
    <x v="0"/>
    <m/>
    <n v="2.56"/>
    <x v="0"/>
  </r>
  <r>
    <n v="40"/>
    <n v="2"/>
    <s v="Southern Region"/>
    <x v="39"/>
    <s v="Regulation 62-H(55)"/>
    <x v="0"/>
    <s v="1-CA(24)/61"/>
    <d v="1962-03-19T00:00:00"/>
    <s v="Tamil Nadu"/>
    <s v="COIMBATORE"/>
    <x v="0"/>
    <x v="0"/>
    <x v="3"/>
    <m/>
    <n v="2.56"/>
    <x v="0"/>
  </r>
  <r>
    <n v="41"/>
    <n v="3"/>
    <s v="Southern Region"/>
    <x v="40"/>
    <s v="Regulation 62-H(55)"/>
    <x v="0"/>
    <s v="1-CA(24)/61"/>
    <d v="1962-03-19T00:00:00"/>
    <s v="Talangana"/>
    <s v="HYDERABAD"/>
    <x v="0"/>
    <x v="0"/>
    <x v="0"/>
    <m/>
    <n v="2.56"/>
    <x v="0"/>
  </r>
  <r>
    <n v="42"/>
    <n v="4"/>
    <s v="Southern Region"/>
    <x v="41"/>
    <s v="Regulation 62-H(55)"/>
    <x v="0"/>
    <s v="1-CA(24)/61"/>
    <d v="1962-03-19T00:00:00"/>
    <s v="Tamil Nadu"/>
    <s v="MADURAI"/>
    <x v="0"/>
    <x v="0"/>
    <x v="2"/>
    <m/>
    <n v="2.56"/>
    <x v="0"/>
  </r>
  <r>
    <n v="43"/>
    <n v="5"/>
    <s v="Southern Region"/>
    <x v="42"/>
    <s v="136(1)"/>
    <x v="30"/>
    <s v="1-CA(24)/67"/>
    <d v="1967-11-06T00:00:00"/>
    <s v="Kerala"/>
    <s v="Ernakulum"/>
    <x v="1"/>
    <x v="0"/>
    <x v="1"/>
    <m/>
    <n v="2.36"/>
    <x v="0"/>
  </r>
  <r>
    <n v="44"/>
    <n v="6"/>
    <s v="Southern Region"/>
    <x v="43"/>
    <s v="136(1)"/>
    <x v="2"/>
    <s v="1-CA(42)/71"/>
    <d v="1971-08-18T00:00:00"/>
    <s v="Karnataka"/>
    <s v="MANGALORE"/>
    <x v="2"/>
    <x v="0"/>
    <x v="3"/>
    <m/>
    <n v="2.2000000000000002"/>
    <x v="0"/>
  </r>
  <r>
    <n v="45"/>
    <n v="7"/>
    <s v="Southern Region"/>
    <x v="44"/>
    <s v="136(1)"/>
    <x v="2"/>
    <s v="1-CA(42)/71"/>
    <d v="1971-08-18T00:00:00"/>
    <s v="Tamil Nadu"/>
    <s v="SALEM"/>
    <x v="2"/>
    <x v="0"/>
    <x v="2"/>
    <m/>
    <n v="2.2000000000000002"/>
    <x v="0"/>
  </r>
  <r>
    <n v="46"/>
    <n v="8"/>
    <s v="Southern Region"/>
    <x v="45"/>
    <s v="136(1)"/>
    <x v="2"/>
    <s v="1-CA(42)/71"/>
    <d v="1971-08-18T00:00:00"/>
    <s v="Tamil Nadu"/>
    <s v="Tiruchirappalli"/>
    <x v="2"/>
    <x v="0"/>
    <x v="2"/>
    <m/>
    <n v="2.2000000000000002"/>
    <x v="0"/>
  </r>
  <r>
    <n v="47"/>
    <n v="9"/>
    <s v="Southern Region"/>
    <x v="46"/>
    <s v="136(1)"/>
    <x v="2"/>
    <s v="1-CA(42)/71"/>
    <d v="1971-08-18T00:00:00"/>
    <s v="Andhra Pradesh"/>
    <s v="VIJAYAWADA"/>
    <x v="2"/>
    <x v="0"/>
    <x v="3"/>
    <m/>
    <n v="2.2000000000000002"/>
    <x v="0"/>
  </r>
  <r>
    <n v="48"/>
    <n v="10"/>
    <s v="Southern Region"/>
    <x v="47"/>
    <s v="136(1)"/>
    <x v="31"/>
    <s v="1-CA(50)/72"/>
    <d v="1972-02-01T00:00:00"/>
    <s v="Kerala"/>
    <s v="TRIVANDRUM"/>
    <x v="2"/>
    <x v="0"/>
    <x v="3"/>
    <m/>
    <n v="2.2000000000000002"/>
    <x v="0"/>
  </r>
  <r>
    <n v="49"/>
    <n v="11"/>
    <s v="Southern Region"/>
    <x v="48"/>
    <s v="136(1)"/>
    <x v="32"/>
    <s v="1-CA(69)/74"/>
    <d v="1974-06-10T00:00:00"/>
    <s v="Karnataka"/>
    <s v="BELGAUM"/>
    <x v="3"/>
    <x v="0"/>
    <x v="4"/>
    <m/>
    <n v="2.08"/>
    <x v="0"/>
  </r>
  <r>
    <n v="50"/>
    <n v="12"/>
    <s v="Southern Region"/>
    <x v="49"/>
    <s v="136(1)"/>
    <x v="33"/>
    <s v="1-CA(101)/77"/>
    <d v="1977-05-11T00:00:00"/>
    <s v="Andhra Pradesh"/>
    <s v="VISAKHAPATNAM"/>
    <x v="4"/>
    <x v="1"/>
    <x v="3"/>
    <m/>
    <n v="1.96"/>
    <x v="0"/>
  </r>
  <r>
    <n v="51"/>
    <n v="13"/>
    <s v="Southern Region"/>
    <x v="50"/>
    <s v="136(1)"/>
    <x v="34"/>
    <s v="28-RC(2)/8/80"/>
    <d v="1980-04-25T00:00:00"/>
    <s v="Tamil Nadu"/>
    <s v="KUMBAKONAM"/>
    <x v="25"/>
    <x v="1"/>
    <x v="4"/>
    <m/>
    <n v="1.84"/>
    <x v="0"/>
  </r>
  <r>
    <n v="52"/>
    <n v="14"/>
    <s v="Southern Region"/>
    <x v="51"/>
    <s v="136(1)"/>
    <x v="35"/>
    <s v="28-RC(2)/13/80"/>
    <d v="1980-09-15T00:00:00"/>
    <s v="Tamil Nadu"/>
    <s v="TIRUNELVELI"/>
    <x v="25"/>
    <x v="1"/>
    <x v="4"/>
    <m/>
    <n v="1.84"/>
    <x v="0"/>
  </r>
  <r>
    <n v="53"/>
    <n v="15"/>
    <s v="Southern Region"/>
    <x v="52"/>
    <s v="136(1)"/>
    <x v="36"/>
    <s v="28-RC(2)/14/81"/>
    <d v="1981-05-06T00:00:00"/>
    <s v="Kerala"/>
    <s v="KOTTAYAM"/>
    <x v="6"/>
    <x v="1"/>
    <x v="2"/>
    <m/>
    <n v="1.8"/>
    <x v="0"/>
  </r>
  <r>
    <n v="54"/>
    <n v="16"/>
    <s v="Southern Region"/>
    <x v="53"/>
    <s v="136(1)"/>
    <x v="36"/>
    <s v="28-RC(2)/15/81"/>
    <d v="1981-05-06T00:00:00"/>
    <s v="Kerala"/>
    <s v="THRISSUR"/>
    <x v="6"/>
    <x v="1"/>
    <x v="3"/>
    <m/>
    <n v="1.8"/>
    <x v="0"/>
  </r>
  <r>
    <n v="55"/>
    <n v="17"/>
    <s v="Southern Region"/>
    <x v="54"/>
    <s v="136(1)"/>
    <x v="37"/>
    <s v="28-RC(2)/15/81"/>
    <d v="1981-09-24T00:00:00"/>
    <s v="Kerala"/>
    <s v="ALLEPPEY"/>
    <x v="6"/>
    <x v="1"/>
    <x v="2"/>
    <m/>
    <n v="1.8"/>
    <x v="0"/>
  </r>
  <r>
    <n v="56"/>
    <n v="18"/>
    <s v="Southern Region"/>
    <x v="55"/>
    <s v="136(1)"/>
    <x v="38"/>
    <s v="28-RC(2)/17/82"/>
    <d v="1982-01-11T00:00:00"/>
    <s v="Andhra Pradesh"/>
    <s v="GUNTUR"/>
    <x v="6"/>
    <x v="1"/>
    <x v="3"/>
    <m/>
    <n v="1.8"/>
    <x v="0"/>
  </r>
  <r>
    <n v="57"/>
    <n v="19"/>
    <s v="Southern Region"/>
    <x v="56"/>
    <s v="136(1)"/>
    <x v="39"/>
    <s v="28-RC(2)/18/82"/>
    <d v="1982-03-18T00:00:00"/>
    <s v="Kerala"/>
    <s v="CALICUT"/>
    <x v="6"/>
    <x v="1"/>
    <x v="3"/>
    <m/>
    <n v="1.8"/>
    <x v="0"/>
  </r>
  <r>
    <n v="58"/>
    <n v="20"/>
    <s v="Southern Region"/>
    <x v="57"/>
    <s v="136(1)"/>
    <x v="40"/>
    <s v="28-RC(2)/19/82"/>
    <d v="1982-07-24T00:00:00"/>
    <s v="Karnataka"/>
    <s v="MYSORE"/>
    <x v="26"/>
    <x v="1"/>
    <x v="2"/>
    <m/>
    <n v="1.76"/>
    <x v="0"/>
  </r>
  <r>
    <n v="59"/>
    <n v="21"/>
    <s v="Southern Region"/>
    <x v="58"/>
    <s v="136(1)"/>
    <x v="41"/>
    <s v="28-RC(2)/22/85"/>
    <d v="1985-10-09T00:00:00"/>
    <s v="Tamil Nadu"/>
    <s v="ERODE"/>
    <x v="7"/>
    <x v="1"/>
    <x v="4"/>
    <m/>
    <n v="1.64"/>
    <x v="0"/>
  </r>
  <r>
    <n v="60"/>
    <n v="22"/>
    <s v="Southern Region"/>
    <x v="59"/>
    <s v="136(1)"/>
    <x v="41"/>
    <s v="28-RC(2)21/85"/>
    <d v="1985-09-18T00:00:00"/>
    <s v="Karnataka"/>
    <s v="HUBLI"/>
    <x v="7"/>
    <x v="1"/>
    <x v="4"/>
    <m/>
    <n v="1.64"/>
    <x v="0"/>
  </r>
  <r>
    <n v="61"/>
    <n v="23"/>
    <s v="Southern Region"/>
    <x v="60"/>
    <s v="136(1)"/>
    <x v="9"/>
    <s v="28-RC(2)/23/86"/>
    <d v="1986-04-28T00:00:00"/>
    <s v="Pondicherry"/>
    <s v="PONDICHERRY"/>
    <x v="8"/>
    <x v="1"/>
    <x v="4"/>
    <m/>
    <n v="1.6"/>
    <x v="0"/>
  </r>
  <r>
    <n v="62"/>
    <n v="24"/>
    <s v="Southern Region"/>
    <x v="61"/>
    <s v="136(1)"/>
    <x v="42"/>
    <s v="28-RC(2)/25/87"/>
    <d v="1987-08-24T00:00:00"/>
    <s v="Kerala"/>
    <s v="QUILON"/>
    <x v="9"/>
    <x v="1"/>
    <x v="4"/>
    <m/>
    <n v="1.56"/>
    <x v="0"/>
  </r>
  <r>
    <n v="63"/>
    <n v="25"/>
    <s v="Southern Region"/>
    <x v="62"/>
    <s v="136(1)"/>
    <x v="43"/>
    <s v="28-RC(2)/24/87"/>
    <d v="1987-08-13T00:00:00"/>
    <s v="Tamil Nadu"/>
    <s v="VELLORE"/>
    <x v="9"/>
    <x v="1"/>
    <x v="4"/>
    <m/>
    <n v="1.56"/>
    <x v="0"/>
  </r>
  <r>
    <n v="64"/>
    <n v="26"/>
    <s v="Southern Region"/>
    <x v="63"/>
    <s v="136(1)"/>
    <x v="44"/>
    <s v="28-RC(2)/26/88"/>
    <d v="1988-01-13T00:00:00"/>
    <s v="Kerala"/>
    <s v="PALGHAT"/>
    <x v="9"/>
    <x v="1"/>
    <x v="2"/>
    <m/>
    <n v="1.56"/>
    <x v="0"/>
  </r>
  <r>
    <n v="65"/>
    <n v="27"/>
    <s v="Southern Region"/>
    <x v="64"/>
    <s v="159(1)"/>
    <x v="45"/>
    <s v="28-RC(2)/27/89"/>
    <d v="1989-06-29T00:00:00"/>
    <s v="Tamil Nadu"/>
    <s v="TIRUPUR"/>
    <x v="27"/>
    <x v="1"/>
    <x v="2"/>
    <m/>
    <n v="1.48"/>
    <x v="0"/>
  </r>
  <r>
    <n v="66"/>
    <n v="28"/>
    <s v="Southern Region"/>
    <x v="65"/>
    <s v="159(1)"/>
    <x v="46"/>
    <s v="28-RC(2)/25/90"/>
    <d v="1990-10-05T00:00:00"/>
    <s v="Tamil Nadu"/>
    <s v="TUTICORIN"/>
    <x v="28"/>
    <x v="1"/>
    <x v="4"/>
    <m/>
    <n v="1.44"/>
    <x v="0"/>
  </r>
  <r>
    <n v="67"/>
    <n v="29"/>
    <s v="Southern Region"/>
    <x v="66"/>
    <s v="159(1)"/>
    <x v="47"/>
    <s v="1-CA(7)/58/2001"/>
    <d v="2001-05-10T00:00:00"/>
    <s v="Karnataka"/>
    <s v="UDUPI"/>
    <x v="10"/>
    <x v="1"/>
    <x v="2"/>
    <m/>
    <n v="1"/>
    <x v="1"/>
  </r>
  <r>
    <n v="68"/>
    <n v="30"/>
    <s v="Southern Region"/>
    <x v="67"/>
    <s v="159(1)"/>
    <x v="48"/>
    <s v="1-CA(7)/90/2006"/>
    <d v="2006-05-31T00:00:00"/>
    <s v="Andhra Pradesh"/>
    <s v="RAJAMAHENDRAVARAM"/>
    <x v="15"/>
    <x v="2"/>
    <x v="2"/>
    <m/>
    <n v="0.8"/>
    <x v="0"/>
  </r>
  <r>
    <n v="69"/>
    <n v="31"/>
    <s v="Southern Region"/>
    <x v="68"/>
    <s v="159(1)"/>
    <x v="16"/>
    <s v="1-CA(7)/94/2006"/>
    <d v="2006-09-27T00:00:00"/>
    <s v="Karnataka"/>
    <s v="BELLARY"/>
    <x v="15"/>
    <x v="2"/>
    <x v="4"/>
    <m/>
    <n v="0.8"/>
    <x v="0"/>
  </r>
  <r>
    <n v="70"/>
    <n v="32"/>
    <s v="Southern Region"/>
    <x v="69"/>
    <s v="159(1)"/>
    <x v="16"/>
    <s v="1-CA(7)/97/2006"/>
    <d v="2006-09-27T00:00:00"/>
    <s v="Andhra Pradesh"/>
    <s v="KAKINADA"/>
    <x v="15"/>
    <x v="2"/>
    <x v="2"/>
    <m/>
    <n v="0.8"/>
    <x v="0"/>
  </r>
  <r>
    <n v="71"/>
    <n v="33"/>
    <s v="Southern Region"/>
    <x v="70"/>
    <s v="159(1)"/>
    <x v="49"/>
    <s v="1-CA(7)/100/2006"/>
    <d v="2007-01-02T00:00:00"/>
    <s v="Andhra Pradesh"/>
    <s v="NELLORE"/>
    <x v="15"/>
    <x v="2"/>
    <x v="2"/>
    <m/>
    <n v="0.8"/>
    <x v="0"/>
  </r>
  <r>
    <n v="72"/>
    <n v="34"/>
    <s v="Southern Region"/>
    <x v="71"/>
    <s v="159(1)"/>
    <x v="20"/>
    <s v="1-CA(7)/(129)/2010"/>
    <d v="2010-02-02T00:00:00"/>
    <s v="Andhra Pradesh"/>
    <s v="Tirupati"/>
    <x v="17"/>
    <x v="2"/>
    <x v="3"/>
    <m/>
    <n v="0.68"/>
    <x v="0"/>
  </r>
  <r>
    <n v="73"/>
    <n v="35"/>
    <s v="Southern Region"/>
    <x v="72"/>
    <s v="159(1)"/>
    <x v="50"/>
    <s v="1-CA(7)/143/2012"/>
    <d v="2012-01-09T00:00:00"/>
    <s v="Tamil Nadu"/>
    <s v="SIVAKASI"/>
    <x v="29"/>
    <x v="2"/>
    <x v="4"/>
    <m/>
    <n v="0.6"/>
    <x v="0"/>
  </r>
  <r>
    <n v="74"/>
    <n v="36"/>
    <s v="Southern Region"/>
    <x v="73"/>
    <s v="159(1)"/>
    <x v="51"/>
    <s v="1-CA(7)/144/2012"/>
    <d v="2012-01-09T00:00:00"/>
    <s v="Kerala"/>
    <s v="KANNUR"/>
    <x v="29"/>
    <x v="2"/>
    <x v="2"/>
    <m/>
    <n v="0.6"/>
    <x v="0"/>
  </r>
  <r>
    <n v="75"/>
    <n v="37"/>
    <s v="Southern Region"/>
    <x v="74"/>
    <s v="159(1A)"/>
    <x v="52"/>
    <s v="1-CA(7)/(159)2014"/>
    <d v="2014-01-06T00:00:00"/>
    <s v="Telangana"/>
    <s v="KARIMNAGAR"/>
    <x v="20"/>
    <x v="2"/>
    <x v="2"/>
    <m/>
    <n v="0.52"/>
    <x v="0"/>
  </r>
  <r>
    <n v="76"/>
    <n v="38"/>
    <s v="Southern Region"/>
    <x v="75"/>
    <s v="159(1A)"/>
    <x v="52"/>
    <s v="1-CA(7)/(160)2014"/>
    <d v="2014-01-06T00:00:00"/>
    <s v="Talangana"/>
    <s v="WARANGAL"/>
    <x v="20"/>
    <x v="2"/>
    <x v="4"/>
    <m/>
    <n v="0.52"/>
    <x v="0"/>
  </r>
  <r>
    <n v="77"/>
    <n v="39"/>
    <s v="Southern Region"/>
    <x v="76"/>
    <s v="159(1)"/>
    <x v="52"/>
    <s v="1-CA(7)/(161)2014"/>
    <d v="2014-01-06T00:00:00"/>
    <s v="Andhra Pradesh"/>
    <s v="ONGOLE"/>
    <x v="20"/>
    <x v="2"/>
    <x v="2"/>
    <m/>
    <n v="0.52"/>
    <x v="0"/>
  </r>
  <r>
    <n v="78"/>
    <n v="40"/>
    <s v="Southern Region"/>
    <x v="77"/>
    <s v="159(1A)"/>
    <x v="53"/>
    <s v="1-CA(7)/(163)2014"/>
    <d v="2014-02-10T00:00:00"/>
    <s v="Andhra Pradesh"/>
    <s v="KURNOOL"/>
    <x v="20"/>
    <x v="2"/>
    <x v="2"/>
    <m/>
    <n v="0.52"/>
    <x v="0"/>
  </r>
  <r>
    <n v="79"/>
    <n v="41"/>
    <s v="Southern Region"/>
    <x v="78"/>
    <s v="159(1A)"/>
    <x v="54"/>
    <s v="1-CA(7)/(165)2014"/>
    <d v="2014-04-04T00:00:00"/>
    <s v="Andhra Pradesh"/>
    <s v="ANANTAPUR"/>
    <x v="20"/>
    <x v="2"/>
    <x v="2"/>
    <m/>
    <n v="0.52"/>
    <x v="0"/>
  </r>
  <r>
    <n v="80"/>
    <n v="42"/>
    <s v="Southern Region"/>
    <x v="79"/>
    <s v="159(1A)"/>
    <x v="55"/>
    <s v="1-CA(7)/(170)2015"/>
    <d v="2015-04-06T00:00:00"/>
    <s v="Karnataka"/>
    <s v="Kalaburgi"/>
    <x v="30"/>
    <x v="2"/>
    <x v="4"/>
    <m/>
    <n v="0.48"/>
    <x v="0"/>
  </r>
  <r>
    <n v="81"/>
    <n v="43"/>
    <s v="Southern Region"/>
    <x v="80"/>
    <s v="159(1A)"/>
    <x v="56"/>
    <s v="1-CA(7)/(177)/2016"/>
    <d v="2016-04-08T00:00:00"/>
    <s v="Tamil Nadu"/>
    <s v="KANCHIPURAM"/>
    <x v="21"/>
    <x v="2"/>
    <x v="1"/>
    <m/>
    <n v="0.44"/>
    <x v="0"/>
  </r>
  <r>
    <n v="82"/>
    <n v="44"/>
    <s v="Southern Region"/>
    <x v="81"/>
    <s v="159(1A)"/>
    <x v="56"/>
    <s v="1-CA(7)/(173)2015"/>
    <d v="2015-08-21T00:00:00"/>
    <s v="Andhra Pradesh"/>
    <s v="WEST GODAVARI"/>
    <x v="21"/>
    <x v="2"/>
    <x v="2"/>
    <m/>
    <n v="0.44"/>
    <x v="0"/>
  </r>
  <r>
    <n v="83"/>
    <n v="45"/>
    <s v="Southern Region"/>
    <x v="82"/>
    <s v="159(1A)"/>
    <x v="57"/>
    <s v="1-CA(7)/(188)/2017"/>
    <d v="2017-02-10T00:00:00"/>
    <s v="Andhra Pradesh"/>
    <s v="KADAPA"/>
    <x v="22"/>
    <x v="2"/>
    <x v="2"/>
    <m/>
    <n v="0.4"/>
    <x v="0"/>
  </r>
  <r>
    <n v="84"/>
    <n v="46"/>
    <s v="Southern Region"/>
    <x v="83"/>
    <s v="159(1A)"/>
    <x v="58"/>
    <s v="1-CA(7)/224/2024"/>
    <d v="2024-08-20T00:00:00"/>
    <s v="Andhra Pradesh"/>
    <s v="VIZIANAGARAM"/>
    <x v="31"/>
    <x v="2"/>
    <x v="4"/>
    <m/>
    <n v="0.08"/>
    <x v="0"/>
  </r>
  <r>
    <n v="85"/>
    <n v="47"/>
    <s v="Southern Region"/>
    <x v="84"/>
    <s v="159(1)"/>
    <x v="59"/>
    <s v="1-CA(7)/228/2025"/>
    <d v="2025-06-06T00:00:00"/>
    <s v="Telangana"/>
    <s v="Khammam "/>
    <x v="24"/>
    <x v="2"/>
    <x v="4"/>
    <s v="New Branch"/>
    <n v="0.04"/>
    <x v="0"/>
  </r>
  <r>
    <n v="86"/>
    <n v="48"/>
    <s v="Southern Region"/>
    <x v="85"/>
    <s v="159(1)"/>
    <x v="59"/>
    <s v="1-CA(7)/229/2025"/>
    <d v="2025-06-06T00:00:00"/>
    <s v="Telangana"/>
    <s v="Nizamabad "/>
    <x v="24"/>
    <x v="2"/>
    <x v="4"/>
    <s v="New Branch"/>
    <n v="0.04"/>
    <x v="0"/>
  </r>
  <r>
    <n v="87"/>
    <n v="1"/>
    <s v="Eastern Region"/>
    <x v="86"/>
    <s v="136(1)"/>
    <x v="60"/>
    <s v="1-CA(73)/74"/>
    <d v="1974-09-17T00:00:00"/>
    <s v="West Bengal"/>
    <s v="ASANSOL"/>
    <x v="3"/>
    <x v="0"/>
    <x v="4"/>
    <m/>
    <n v="2.08"/>
    <x v="0"/>
  </r>
  <r>
    <n v="88"/>
    <n v="2"/>
    <s v="Eastern Region"/>
    <x v="87"/>
    <s v="136(1)"/>
    <x v="61"/>
    <s v="28-RC(3)/3/77"/>
    <d v="1977-10-22T00:00:00"/>
    <s v="Assam"/>
    <s v="GUWAHATI"/>
    <x v="4"/>
    <x v="1"/>
    <x v="3"/>
    <m/>
    <n v="1.96"/>
    <x v="0"/>
  </r>
  <r>
    <n v="89"/>
    <n v="3"/>
    <s v="Eastern Region"/>
    <x v="88"/>
    <s v="136(1)"/>
    <x v="62"/>
    <s v="28-RC(3)/3/79"/>
    <d v="1979-12-20T00:00:00"/>
    <s v="Odisha"/>
    <s v="Bhubaneshwar"/>
    <x v="32"/>
    <x v="1"/>
    <x v="3"/>
    <m/>
    <n v="1.88"/>
    <x v="0"/>
  </r>
  <r>
    <n v="90"/>
    <n v="4"/>
    <s v="Eastern Region"/>
    <x v="89"/>
    <s v="159(1)"/>
    <x v="63"/>
    <s v="28-RC(3)/4/90"/>
    <d v="1990-02-07T00:00:00"/>
    <s v="Odisha"/>
    <s v="CUTTACK"/>
    <x v="27"/>
    <x v="1"/>
    <x v="4"/>
    <m/>
    <n v="1.48"/>
    <x v="0"/>
  </r>
  <r>
    <n v="91"/>
    <n v="5"/>
    <s v="Eastern Region"/>
    <x v="90"/>
    <s v="159(1)"/>
    <x v="64"/>
    <s v="28-RC(3)/5/90"/>
    <d v="1990-04-17T00:00:00"/>
    <s v="West Bengal"/>
    <s v="DURGAPUR"/>
    <x v="27"/>
    <x v="1"/>
    <x v="4"/>
    <m/>
    <n v="1.48"/>
    <x v="0"/>
  </r>
  <r>
    <n v="92"/>
    <n v="6"/>
    <s v="Eastern Region"/>
    <x v="91"/>
    <s v="159(1)"/>
    <x v="46"/>
    <s v="28-RC(3)/24/90"/>
    <d v="1990-10-05T00:00:00"/>
    <s v="West Bengal"/>
    <s v="SILIGURI"/>
    <x v="28"/>
    <x v="1"/>
    <x v="2"/>
    <m/>
    <n v="1.44"/>
    <x v="0"/>
  </r>
  <r>
    <n v="93"/>
    <n v="7"/>
    <s v="Eastern Region"/>
    <x v="92"/>
    <s v="159(1)"/>
    <x v="65"/>
    <s v="1-CA(7)/38/98"/>
    <d v="1998-12-15T00:00:00"/>
    <s v="Odisha"/>
    <s v="ROURKELA"/>
    <x v="33"/>
    <x v="1"/>
    <x v="4"/>
    <m/>
    <n v="1.1200000000000001"/>
    <x v="0"/>
  </r>
  <r>
    <n v="94"/>
    <n v="8"/>
    <s v="Eastern Region"/>
    <x v="93"/>
    <s v="159(1)"/>
    <x v="48"/>
    <s v="1-CA(7)/91/2006"/>
    <d v="2006-05-31T00:00:00"/>
    <s v="Odisha"/>
    <s v="SAMBALPUR"/>
    <x v="15"/>
    <x v="2"/>
    <x v="4"/>
    <m/>
    <n v="0.8"/>
    <x v="0"/>
  </r>
  <r>
    <n v="95"/>
    <n v="9"/>
    <s v="Eastern Region"/>
    <x v="94"/>
    <s v="159(1A)"/>
    <x v="52"/>
    <s v="1-CA(7)/(157)2014"/>
    <d v="2014-01-06T00:00:00"/>
    <s v="Assam"/>
    <s v="DIBRUGARH"/>
    <x v="20"/>
    <x v="2"/>
    <x v="4"/>
    <m/>
    <n v="0.52"/>
    <x v="0"/>
  </r>
  <r>
    <n v="96"/>
    <n v="10"/>
    <s v="Eastern Region"/>
    <x v="95"/>
    <s v="159(1A)"/>
    <x v="52"/>
    <s v="1-CA(7)/(158)2014"/>
    <d v="2014-01-06T00:00:00"/>
    <s v="Assam"/>
    <s v="TINSUKIA"/>
    <x v="20"/>
    <x v="2"/>
    <x v="4"/>
    <m/>
    <n v="0.52"/>
    <x v="0"/>
  </r>
  <r>
    <n v="97"/>
    <n v="11"/>
    <s v="Eastern Region"/>
    <x v="96"/>
    <s v="159(1)"/>
    <x v="53"/>
    <s v="1-CA(7)/(164)2014"/>
    <d v="2014-02-10T00:00:00"/>
    <s v="West Bengal"/>
    <s v="RANIGANJ"/>
    <x v="20"/>
    <x v="2"/>
    <x v="4"/>
    <m/>
    <n v="0.52"/>
    <x v="0"/>
  </r>
  <r>
    <n v="98"/>
    <n v="12"/>
    <s v="Eastern Region"/>
    <x v="97"/>
    <s v="159(1A)"/>
    <x v="66"/>
    <s v="1-CA(7)/(179)/2016"/>
    <d v="2016-09-14T00:00:00"/>
    <s v="Odisha"/>
    <s v="JHARSUGUDA"/>
    <x v="22"/>
    <x v="2"/>
    <x v="4"/>
    <m/>
    <n v="0.4"/>
    <x v="0"/>
  </r>
  <r>
    <n v="99"/>
    <n v="13"/>
    <s v="Eastern Region"/>
    <x v="98"/>
    <s v="159(1A)"/>
    <x v="67"/>
    <s v="1-CA(7)/(180)/2016"/>
    <d v="2016-09-29T00:00:00"/>
    <s v="Odisha"/>
    <s v="BRAHMAPUR"/>
    <x v="22"/>
    <x v="2"/>
    <x v="4"/>
    <m/>
    <n v="0.4"/>
    <x v="0"/>
  </r>
  <r>
    <n v="100"/>
    <n v="1"/>
    <s v="Central Region"/>
    <x v="99"/>
    <s v="136(1)"/>
    <x v="68"/>
    <s v="1-CA(38)/70"/>
    <d v="1970-07-06T00:00:00"/>
    <s v="Rajasthan"/>
    <s v="JAIPUR"/>
    <x v="34"/>
    <x v="0"/>
    <x v="0"/>
    <m/>
    <n v="2.2400000000000002"/>
    <x v="0"/>
  </r>
  <r>
    <n v="101"/>
    <n v="2"/>
    <s v="Central Region"/>
    <x v="100"/>
    <s v="136(1)"/>
    <x v="2"/>
    <s v="1-CA(47)/71"/>
    <d v="1971-08-23T00:00:00"/>
    <s v="Madhya Pradesh"/>
    <s v="INDORE"/>
    <x v="2"/>
    <x v="0"/>
    <x v="0"/>
    <m/>
    <n v="2.2000000000000002"/>
    <x v="0"/>
  </r>
  <r>
    <n v="102"/>
    <n v="3"/>
    <s v="Central Region"/>
    <x v="101"/>
    <s v="136(1)"/>
    <x v="2"/>
    <s v="1-CA(47)71"/>
    <d v="1971-08-23T00:00:00"/>
    <s v="Jharkhand"/>
    <s v="JAMSHEDPUR"/>
    <x v="2"/>
    <x v="0"/>
    <x v="2"/>
    <m/>
    <n v="2.2000000000000002"/>
    <x v="0"/>
  </r>
  <r>
    <n v="103"/>
    <n v="4"/>
    <s v="Central Region"/>
    <x v="102"/>
    <s v="136(1)"/>
    <x v="69"/>
    <s v="1-CA(83)75"/>
    <d v="1975-07-16T00:00:00"/>
    <s v="Uttar Pradesh"/>
    <s v="GHAZIABAD"/>
    <x v="35"/>
    <x v="0"/>
    <x v="1"/>
    <m/>
    <n v="2.04"/>
    <x v="0"/>
  </r>
  <r>
    <n v="104"/>
    <n v="5"/>
    <s v="Central Region"/>
    <x v="103"/>
    <s v="136(1)"/>
    <x v="70"/>
    <s v="1-CA(97)76"/>
    <d v="1976-11-09T00:00:00"/>
    <s v="Rajasthan"/>
    <s v="JODHPUR"/>
    <x v="36"/>
    <x v="0"/>
    <x v="1"/>
    <m/>
    <n v="2"/>
    <x v="1"/>
  </r>
  <r>
    <n v="105"/>
    <n v="6"/>
    <s v="Central Region"/>
    <x v="104"/>
    <s v="136(1)"/>
    <x v="71"/>
    <s v="28-RC(3)/4/80"/>
    <d v="1980-08-01T00:00:00"/>
    <s v="Uttar Pradesh"/>
    <s v="AGRA"/>
    <x v="25"/>
    <x v="1"/>
    <x v="3"/>
    <m/>
    <n v="1.84"/>
    <x v="0"/>
  </r>
  <r>
    <n v="106"/>
    <n v="7"/>
    <s v="Central Region"/>
    <x v="105"/>
    <s v="136(1)"/>
    <x v="71"/>
    <s v="28-RC(4)/4/80"/>
    <d v="1980-08-01T00:00:00"/>
    <s v="Uttar Pradesh"/>
    <s v="LUCKNOW"/>
    <x v="25"/>
    <x v="1"/>
    <x v="1"/>
    <m/>
    <n v="1.84"/>
    <x v="0"/>
  </r>
  <r>
    <n v="107"/>
    <n v="8"/>
    <s v="Central Region"/>
    <x v="106"/>
    <s v="136(1)"/>
    <x v="72"/>
    <s v="28-RC(4)/7/80"/>
    <d v="1981-01-02T00:00:00"/>
    <s v="Madhya Pradesh"/>
    <s v="BHOPAL"/>
    <x v="25"/>
    <x v="1"/>
    <x v="3"/>
    <m/>
    <n v="1.84"/>
    <x v="0"/>
  </r>
  <r>
    <n v="108"/>
    <n v="9"/>
    <s v="Central Region"/>
    <x v="107"/>
    <s v="136(1)"/>
    <x v="73"/>
    <s v="28-RC(4)/6/80"/>
    <d v="1981-05-01T00:00:00"/>
    <s v="Chhattisgarh"/>
    <s v="RAIPUR"/>
    <x v="6"/>
    <x v="1"/>
    <x v="3"/>
    <m/>
    <n v="1.8"/>
    <x v="0"/>
  </r>
  <r>
    <n v="109"/>
    <n v="10"/>
    <s v="Central Region"/>
    <x v="108"/>
    <s v="136(1)"/>
    <x v="74"/>
    <s v="28-RC(4)/8/82"/>
    <d v="1982-09-20T00:00:00"/>
    <s v="Bihar"/>
    <s v="PATNA"/>
    <x v="26"/>
    <x v="1"/>
    <x v="3"/>
    <m/>
    <n v="1.76"/>
    <x v="0"/>
  </r>
  <r>
    <n v="110"/>
    <n v="11"/>
    <s v="Central Region"/>
    <x v="109"/>
    <s v="136(1)"/>
    <x v="75"/>
    <s v="28-RC(4)/11/84"/>
    <d v="1984-02-23T00:00:00"/>
    <s v="Rajasthan"/>
    <s v="UDAIPUR"/>
    <x v="37"/>
    <x v="1"/>
    <x v="3"/>
    <m/>
    <n v="1.72"/>
    <x v="0"/>
  </r>
  <r>
    <n v="111"/>
    <n v="12"/>
    <s v="Central Region"/>
    <x v="110"/>
    <s v="136(1)"/>
    <x v="7"/>
    <s v="28-RC(4)/12/85"/>
    <d v="1985-09-03T00:00:00"/>
    <s v="Uttar Pradesh"/>
    <s v="ALLAHABAD"/>
    <x v="7"/>
    <x v="1"/>
    <x v="2"/>
    <m/>
    <n v="1.64"/>
    <x v="0"/>
  </r>
  <r>
    <n v="112"/>
    <n v="13"/>
    <s v="Central Region"/>
    <x v="111"/>
    <s v="136(1)"/>
    <x v="41"/>
    <s v="28-RC(4)/13/85"/>
    <d v="1985-09-18T00:00:00"/>
    <s v="Rajasthan"/>
    <s v="KOTA"/>
    <x v="7"/>
    <x v="1"/>
    <x v="3"/>
    <m/>
    <n v="1.64"/>
    <x v="0"/>
  </r>
  <r>
    <n v="113"/>
    <n v="14"/>
    <s v="Central Region"/>
    <x v="112"/>
    <s v="136(1)"/>
    <x v="8"/>
    <s v="28-RC(4)/14/86"/>
    <d v="1986-05-12T00:00:00"/>
    <s v="Uttar Pradesh"/>
    <s v="MEERUT"/>
    <x v="7"/>
    <x v="1"/>
    <x v="3"/>
    <m/>
    <n v="1.64"/>
    <x v="0"/>
  </r>
  <r>
    <n v="114"/>
    <n v="15"/>
    <s v="Central Region"/>
    <x v="113"/>
    <s v="136(1)"/>
    <x v="76"/>
    <s v="28-RC(4)/15/87"/>
    <d v="1987-04-06T00:00:00"/>
    <s v="Jharkhand"/>
    <s v="RANCHI"/>
    <x v="8"/>
    <x v="1"/>
    <x v="3"/>
    <m/>
    <n v="1.6"/>
    <x v="0"/>
  </r>
  <r>
    <n v="115"/>
    <n v="16"/>
    <s v="Central Region"/>
    <x v="114"/>
    <s v="136(1)"/>
    <x v="77"/>
    <s v="28-RC(4)/16/87"/>
    <d v="1987-10-20T00:00:00"/>
    <s v="Madhya Pradesh"/>
    <s v="GWALIOR"/>
    <x v="9"/>
    <x v="1"/>
    <x v="2"/>
    <m/>
    <n v="1.56"/>
    <x v="0"/>
  </r>
  <r>
    <n v="116"/>
    <n v="17"/>
    <s v="Central Region"/>
    <x v="115"/>
    <s v="136(1)"/>
    <x v="44"/>
    <s v="28-RC(4)/17/88"/>
    <d v="1988-01-15T00:00:00"/>
    <s v="Rajasthan"/>
    <s v="BHILWARA"/>
    <x v="9"/>
    <x v="1"/>
    <x v="3"/>
    <m/>
    <n v="1.56"/>
    <x v="0"/>
  </r>
  <r>
    <n v="117"/>
    <n v="18"/>
    <s v="Central Region"/>
    <x v="116"/>
    <s v="136(1)"/>
    <x v="78"/>
    <s v="28-RC(4)/18/88"/>
    <d v="1988-05-23T00:00:00"/>
    <s v="Uttarakhand"/>
    <s v="DEHRADUN"/>
    <x v="38"/>
    <x v="1"/>
    <x v="3"/>
    <m/>
    <n v="1.52"/>
    <x v="0"/>
  </r>
  <r>
    <n v="118"/>
    <n v="19"/>
    <s v="Central Region"/>
    <x v="117"/>
    <s v="159(1)"/>
    <x v="79"/>
    <s v="28-RC(4)/19/88"/>
    <d v="1988-09-01T00:00:00"/>
    <s v="Uttar Pradesh"/>
    <s v="BAREILLY"/>
    <x v="38"/>
    <x v="1"/>
    <x v="2"/>
    <m/>
    <n v="1.52"/>
    <x v="0"/>
  </r>
  <r>
    <n v="119"/>
    <n v="20"/>
    <s v="Central Region"/>
    <x v="118"/>
    <s v="159(1)"/>
    <x v="80"/>
    <s v="28-RC(4)/20/89"/>
    <d v="1989-01-02T00:00:00"/>
    <s v="Uttar Pradesh"/>
    <s v="VARANASI"/>
    <x v="38"/>
    <x v="1"/>
    <x v="2"/>
    <m/>
    <n v="1.52"/>
    <x v="0"/>
  </r>
  <r>
    <n v="120"/>
    <n v="21"/>
    <s v="Central Region"/>
    <x v="119"/>
    <s v="159(1)"/>
    <x v="81"/>
    <s v="28-RC(4)/21/89"/>
    <d v="1989-03-31T00:00:00"/>
    <s v="Rajasthan"/>
    <s v="ALWAR"/>
    <x v="38"/>
    <x v="1"/>
    <x v="2"/>
    <m/>
    <n v="1.52"/>
    <x v="0"/>
  </r>
  <r>
    <n v="121"/>
    <n v="22"/>
    <s v="Central Region"/>
    <x v="120"/>
    <s v="159(1)"/>
    <x v="63"/>
    <s v="28-RC(4)/22/90"/>
    <d v="1990-02-07T00:00:00"/>
    <s v="Jharkhand"/>
    <s v="DHANBAD"/>
    <x v="27"/>
    <x v="1"/>
    <x v="2"/>
    <m/>
    <n v="1.48"/>
    <x v="0"/>
  </r>
  <r>
    <n v="122"/>
    <n v="23"/>
    <s v="Central Region"/>
    <x v="121"/>
    <s v="159(1)"/>
    <x v="46"/>
    <s v="28-RC(4)/23/90"/>
    <d v="1990-10-05T00:00:00"/>
    <s v="Rajasthan"/>
    <s v="AJMER"/>
    <x v="28"/>
    <x v="1"/>
    <x v="2"/>
    <m/>
    <n v="1.44"/>
    <x v="0"/>
  </r>
  <r>
    <n v="123"/>
    <n v="24"/>
    <s v="Central Region"/>
    <x v="122"/>
    <s v="159(1)"/>
    <x v="82"/>
    <s v="28-RC(4)/1/91"/>
    <d v="1991-03-25T00:00:00"/>
    <s v="Uttar Pradesh"/>
    <s v="NOIDA"/>
    <x v="28"/>
    <x v="1"/>
    <x v="1"/>
    <m/>
    <n v="1.44"/>
    <x v="0"/>
  </r>
  <r>
    <n v="124"/>
    <n v="25"/>
    <s v="Central Region"/>
    <x v="123"/>
    <s v="159(1)"/>
    <x v="83"/>
    <s v="1-CA(7)/35/98"/>
    <d v="1998-08-31T00:00:00"/>
    <s v="Uttar Pradesh"/>
    <s v="MATHURA"/>
    <x v="33"/>
    <x v="1"/>
    <x v="2"/>
    <m/>
    <n v="1.1200000000000001"/>
    <x v="0"/>
  </r>
  <r>
    <n v="125"/>
    <n v="26"/>
    <s v="Central Region"/>
    <x v="124"/>
    <s v="159(1)"/>
    <x v="84"/>
    <s v="1-CA(7)/37/98"/>
    <d v="1998-11-26T00:00:00"/>
    <s v="Uttar Pradesh"/>
    <s v="MORADABAD"/>
    <x v="33"/>
    <x v="1"/>
    <x v="2"/>
    <m/>
    <n v="1.1200000000000001"/>
    <x v="0"/>
  </r>
  <r>
    <n v="126"/>
    <n v="27"/>
    <s v="Central Region"/>
    <x v="125"/>
    <s v="159(1)"/>
    <x v="85"/>
    <s v="1-CA(7)/47/2000"/>
    <d v="2000-04-07T00:00:00"/>
    <s v="Uttar Pradesh"/>
    <s v="MUZAFFARNAGAR"/>
    <x v="39"/>
    <x v="1"/>
    <x v="2"/>
    <m/>
    <n v="1.08"/>
    <x v="0"/>
  </r>
  <r>
    <n v="127"/>
    <n v="28"/>
    <s v="Central Region"/>
    <x v="126"/>
    <s v="159(1)"/>
    <x v="85"/>
    <s v="1-CA(7)/48/2000"/>
    <d v="2000-04-07T00:00:00"/>
    <s v="Uttar Pradesh"/>
    <s v="SAHARANPUR"/>
    <x v="39"/>
    <x v="1"/>
    <x v="4"/>
    <m/>
    <n v="1.08"/>
    <x v="0"/>
  </r>
  <r>
    <n v="128"/>
    <n v="29"/>
    <s v="Central Region"/>
    <x v="127"/>
    <s v="159(1)"/>
    <x v="47"/>
    <s v="1-CA(7)/55/2001"/>
    <d v="2001-05-10T00:00:00"/>
    <s v="Chhattisgarh"/>
    <s v="BHILAI"/>
    <x v="10"/>
    <x v="1"/>
    <x v="2"/>
    <m/>
    <n v="1"/>
    <x v="1"/>
  </r>
  <r>
    <n v="129"/>
    <n v="30"/>
    <s v="Central Region"/>
    <x v="128"/>
    <s v="159(1)"/>
    <x v="86"/>
    <s v="1-CA(7)/76/2004"/>
    <d v="2004-06-29T00:00:00"/>
    <s v="Madhya Pradesh"/>
    <s v="JABALPUR"/>
    <x v="13"/>
    <x v="2"/>
    <x v="2"/>
    <m/>
    <n v="0.88"/>
    <x v="0"/>
  </r>
  <r>
    <n v="130"/>
    <n v="31"/>
    <s v="Central Region"/>
    <x v="129"/>
    <s v="159(1)"/>
    <x v="87"/>
    <s v="1-CA(7)/78/2004"/>
    <d v="2004-10-01T00:00:00"/>
    <s v="Madhya Pradesh"/>
    <s v="UJJAIN"/>
    <x v="13"/>
    <x v="2"/>
    <x v="2"/>
    <m/>
    <n v="0.88"/>
    <x v="0"/>
  </r>
  <r>
    <n v="131"/>
    <n v="32"/>
    <s v="Central Region"/>
    <x v="130"/>
    <s v="159(1)"/>
    <x v="88"/>
    <s v="1-CA(7)/86/2005"/>
    <d v="2005-08-24T00:00:00"/>
    <s v="Rajasthan"/>
    <s v="BIKANER"/>
    <x v="14"/>
    <x v="2"/>
    <x v="2"/>
    <m/>
    <n v="0.84"/>
    <x v="0"/>
  </r>
  <r>
    <n v="132"/>
    <n v="33"/>
    <s v="Central Region"/>
    <x v="131"/>
    <s v="159(1)"/>
    <x v="16"/>
    <s v="1-CA(7)/(96)/2006"/>
    <d v="2006-09-27T00:00:00"/>
    <s v="Uttar Pradesh"/>
    <s v="GORAKHPUR"/>
    <x v="15"/>
    <x v="2"/>
    <x v="2"/>
    <m/>
    <n v="0.8"/>
    <x v="0"/>
  </r>
  <r>
    <n v="133"/>
    <n v="34"/>
    <s v="Central Region"/>
    <x v="132"/>
    <s v="159(1)"/>
    <x v="49"/>
    <s v="1-CA(7)/(99)/2006"/>
    <d v="2007-01-02T00:00:00"/>
    <s v="Chhattisgarh"/>
    <s v="BILASPUR"/>
    <x v="15"/>
    <x v="2"/>
    <x v="4"/>
    <m/>
    <n v="0.8"/>
    <x v="0"/>
  </r>
  <r>
    <n v="134"/>
    <n v="35"/>
    <s v="Central Region"/>
    <x v="133"/>
    <s v="159(1)"/>
    <x v="89"/>
    <s v="1-CA(7)/(105)/2008"/>
    <d v="2008-01-18T00:00:00"/>
    <s v="Uttar Pradesh"/>
    <s v="ALIGARH"/>
    <x v="16"/>
    <x v="2"/>
    <x v="4"/>
    <m/>
    <n v="0.76"/>
    <x v="0"/>
  </r>
  <r>
    <n v="135"/>
    <n v="36"/>
    <s v="Central Region"/>
    <x v="134"/>
    <s v="159(1)"/>
    <x v="90"/>
    <s v="1-CA(7)/124/2008"/>
    <d v="2008-10-13T00:00:00"/>
    <s v="Rajasthan"/>
    <s v="BEAWAR"/>
    <x v="40"/>
    <x v="2"/>
    <x v="2"/>
    <m/>
    <n v="0.72"/>
    <x v="0"/>
  </r>
  <r>
    <n v="136"/>
    <n v="37"/>
    <s v="Central Region"/>
    <x v="135"/>
    <s v="159(1)"/>
    <x v="20"/>
    <s v="1-CA(7)/(131)/2010"/>
    <d v="2010-02-06T00:00:00"/>
    <s v="Rajasthan"/>
    <s v="PALI"/>
    <x v="17"/>
    <x v="2"/>
    <x v="4"/>
    <m/>
    <n v="0.68"/>
    <x v="0"/>
  </r>
  <r>
    <n v="137"/>
    <n v="38"/>
    <s v="Central Region"/>
    <x v="136"/>
    <s v="159(1)"/>
    <x v="20"/>
    <s v="1-CA(7)(133)/2010"/>
    <d v="2010-02-09T00:00:00"/>
    <s v="Madhya Pradesh"/>
    <s v="RATLAM"/>
    <x v="17"/>
    <x v="2"/>
    <x v="4"/>
    <m/>
    <n v="0.68"/>
    <x v="0"/>
  </r>
  <r>
    <n v="138"/>
    <n v="39"/>
    <s v="Central Region"/>
    <x v="137"/>
    <s v="159(1)"/>
    <x v="20"/>
    <s v="1-CA(7)132/2010"/>
    <d v="2010-02-09T00:00:00"/>
    <s v="Rajasthan"/>
    <s v="SRIGANGANAGAR"/>
    <x v="17"/>
    <x v="2"/>
    <x v="4"/>
    <m/>
    <n v="0.68"/>
    <x v="0"/>
  </r>
  <r>
    <n v="139"/>
    <n v="40"/>
    <s v="Central Region"/>
    <x v="138"/>
    <s v="159(1)"/>
    <x v="22"/>
    <s v="1-CA(7)/(147)/2013"/>
    <d v="2013-04-25T00:00:00"/>
    <s v="Rajasthan"/>
    <s v="KISHANGARH"/>
    <x v="19"/>
    <x v="2"/>
    <x v="2"/>
    <m/>
    <n v="0.56000000000000005"/>
    <x v="0"/>
  </r>
  <r>
    <n v="140"/>
    <n v="41"/>
    <s v="Central Region"/>
    <x v="139"/>
    <s v="159(1A)"/>
    <x v="22"/>
    <s v="1-CA(7)/(148)/2013"/>
    <d v="2013-04-25T00:00:00"/>
    <s v="Uttar Pradesh"/>
    <s v="JHANSI"/>
    <x v="19"/>
    <x v="2"/>
    <x v="4"/>
    <m/>
    <n v="0.56000000000000005"/>
    <x v="0"/>
  </r>
  <r>
    <n v="141"/>
    <n v="42"/>
    <s v="Central Region"/>
    <x v="140"/>
    <s v="159(1A)"/>
    <x v="22"/>
    <s v="1-CA(7)/(149)/2013"/>
    <d v="2013-04-25T00:00:00"/>
    <s v="Rajasthan"/>
    <s v="CHITTORGARH"/>
    <x v="19"/>
    <x v="2"/>
    <x v="2"/>
    <m/>
    <n v="0.56000000000000005"/>
    <x v="0"/>
  </r>
  <r>
    <n v="142"/>
    <n v="43"/>
    <s v="Central Region"/>
    <x v="141"/>
    <s v="159(1A)"/>
    <x v="23"/>
    <s v="1-CA(7)/(152)/2013"/>
    <d v="2013-06-03T00:00:00"/>
    <s v="Rajasthan"/>
    <s v="SIKAR"/>
    <x v="20"/>
    <x v="2"/>
    <x v="2"/>
    <m/>
    <n v="0.52"/>
    <x v="0"/>
  </r>
  <r>
    <n v="143"/>
    <n v="44"/>
    <s v="Central Region"/>
    <x v="142"/>
    <s v="159(1A)"/>
    <x v="53"/>
    <s v="1-CA(7)/(162)/2013"/>
    <d v="2024-02-10T00:00:00"/>
    <s v="Rajasthan"/>
    <s v="BHARATPUR"/>
    <x v="20"/>
    <x v="2"/>
    <x v="4"/>
    <m/>
    <n v="0.52"/>
    <x v="0"/>
  </r>
  <r>
    <n v="144"/>
    <n v="45"/>
    <s v="Central Region"/>
    <x v="143"/>
    <s v="159(1)"/>
    <x v="55"/>
    <s v="1-CA(7)/(168)/2015"/>
    <d v="2015-04-06T00:00:00"/>
    <s v="Uttarakhand"/>
    <s v="HARIDWAR"/>
    <x v="30"/>
    <x v="2"/>
    <x v="4"/>
    <m/>
    <n v="0.48"/>
    <x v="0"/>
  </r>
  <r>
    <n v="145"/>
    <n v="46"/>
    <s v="Central Region"/>
    <x v="144"/>
    <s v="159(1)"/>
    <x v="55"/>
    <s v="1-CA(7)/(169)/2015"/>
    <d v="2015-04-06T00:00:00"/>
    <s v="Uttarakhand"/>
    <s v="HALDWANI"/>
    <x v="30"/>
    <x v="2"/>
    <x v="4"/>
    <m/>
    <n v="0.48"/>
    <x v="0"/>
  </r>
  <r>
    <n v="146"/>
    <n v="47"/>
    <s v="Central Region"/>
    <x v="145"/>
    <s v="159(1A)"/>
    <x v="91"/>
    <s v="1-CA(7)/189/2018"/>
    <d v="2018-05-08T00:00:00"/>
    <s v="Uttar Pradesh"/>
    <s v="BULANDSHAHR"/>
    <x v="41"/>
    <x v="2"/>
    <x v="4"/>
    <m/>
    <n v="0.36"/>
    <x v="0"/>
  </r>
  <r>
    <n v="147"/>
    <n v="48"/>
    <s v="Central Region"/>
    <x v="146"/>
    <s v="159(1)"/>
    <x v="92"/>
    <s v="1-CA(7)/202/2022"/>
    <d v="2022-06-06T00:00:00"/>
    <s v="Bihar"/>
    <s v="BHAGALPUR"/>
    <x v="23"/>
    <x v="2"/>
    <x v="4"/>
    <m/>
    <n v="0.16"/>
    <x v="0"/>
  </r>
  <r>
    <n v="148"/>
    <n v="49"/>
    <s v="Central Region"/>
    <x v="147"/>
    <s v="159(1A)"/>
    <x v="93"/>
    <s v="1-CA(7)/203/2022"/>
    <d v="2022-06-06T00:00:00"/>
    <s v="Rajasthan"/>
    <s v="HANUMANGARH"/>
    <x v="23"/>
    <x v="2"/>
    <x v="4"/>
    <m/>
    <n v="0.16"/>
    <x v="0"/>
  </r>
  <r>
    <n v="149"/>
    <n v="50"/>
    <s v="Central Region"/>
    <x v="148"/>
    <s v="159(1A)"/>
    <x v="94"/>
    <s v="1-CA(7)/204/2023"/>
    <d v="2023-02-25T00:00:00"/>
    <s v="Madhya Pradesh"/>
    <s v="SATNA"/>
    <x v="23"/>
    <x v="2"/>
    <x v="4"/>
    <m/>
    <n v="0.16"/>
    <x v="0"/>
  </r>
  <r>
    <n v="150"/>
    <n v="51"/>
    <s v="Central Region"/>
    <x v="149"/>
    <s v="159(1A)"/>
    <x v="95"/>
    <s v="1-CA(7)/209/2023"/>
    <d v="2023-09-29T00:00:00"/>
    <s v="Rajasthan"/>
    <s v="RAJSAMAND"/>
    <x v="42"/>
    <x v="2"/>
    <x v="4"/>
    <m/>
    <n v="0.12"/>
    <x v="0"/>
  </r>
  <r>
    <n v="151"/>
    <n v="52"/>
    <s v="Central Region"/>
    <x v="150"/>
    <s v="159(1A)"/>
    <x v="95"/>
    <s v="1-CA(7)/210/2023"/>
    <d v="2023-09-29T00:00:00"/>
    <s v="Madhya Pradesh"/>
    <s v="MANDSAUR"/>
    <x v="42"/>
    <x v="2"/>
    <x v="4"/>
    <m/>
    <n v="0.12"/>
    <x v="0"/>
  </r>
  <r>
    <n v="152"/>
    <n v="53"/>
    <s v="Central Region"/>
    <x v="151"/>
    <s v="159(1)"/>
    <x v="96"/>
    <s v="1-CA(7)/216/2024"/>
    <d v="2024-01-23T00:00:00"/>
    <s v="Bihar"/>
    <s v="DARBHANGA"/>
    <x v="42"/>
    <x v="2"/>
    <x v="4"/>
    <m/>
    <n v="0.12"/>
    <x v="0"/>
  </r>
  <r>
    <n v="153"/>
    <n v="54"/>
    <s v="Central Region"/>
    <x v="152"/>
    <s v="159(1A)"/>
    <x v="96"/>
    <s v="1-CA(7)/214/2024"/>
    <d v="2024-01-22T00:00:00"/>
    <s v="Bihar"/>
    <s v="MUZAFFARPUR"/>
    <x v="42"/>
    <x v="2"/>
    <x v="4"/>
    <m/>
    <n v="0.12"/>
    <x v="0"/>
  </r>
  <r>
    <n v="154"/>
    <n v="55"/>
    <s v="Central Region"/>
    <x v="153"/>
    <s v="159(1A)"/>
    <x v="96"/>
    <s v="1-CA(7)/215/2024"/>
    <d v="2024-01-22T00:00:00"/>
    <s v="Madhya Pradesh"/>
    <s v="NEEMUCH"/>
    <x v="42"/>
    <x v="2"/>
    <x v="4"/>
    <m/>
    <n v="0.12"/>
    <x v="0"/>
  </r>
  <r>
    <n v="155"/>
    <n v="56"/>
    <s v="Central Region"/>
    <x v="154"/>
    <s v="159(1)"/>
    <x v="97"/>
    <s v="1-CA(7)/217/2024"/>
    <d v="2024-03-28T00:00:00"/>
    <s v="Chhattisgarh"/>
    <s v="RAIGARH"/>
    <x v="42"/>
    <x v="2"/>
    <x v="4"/>
    <m/>
    <n v="0.12"/>
    <x v="0"/>
  </r>
  <r>
    <n v="156"/>
    <n v="57"/>
    <s v="Central Region"/>
    <x v="155"/>
    <s v="159(1A)"/>
    <x v="98"/>
    <s v="1-CA(7)/219/2024"/>
    <d v="2024-05-10T00:00:00"/>
    <s v="Rajasthan"/>
    <s v="TONK"/>
    <x v="31"/>
    <x v="2"/>
    <x v="4"/>
    <s v="New Branch"/>
    <n v="0.08"/>
    <x v="0"/>
  </r>
  <r>
    <n v="157"/>
    <n v="58"/>
    <s v="Central Region"/>
    <x v="156"/>
    <s v="159(1A)"/>
    <x v="99"/>
    <s v="1-CA(7)/232/2025"/>
    <d v="2025-07-23T00:00:00"/>
    <s v="Rajasthan"/>
    <s v="CHURU"/>
    <x v="24"/>
    <x v="2"/>
    <x v="4"/>
    <s v="New Branch"/>
    <n v="0.04"/>
    <x v="0"/>
  </r>
  <r>
    <n v="158"/>
    <n v="59"/>
    <s v="Central Region"/>
    <x v="157"/>
    <s v="159(1A)"/>
    <x v="99"/>
    <s v="1-CA(7)/233/2025"/>
    <d v="2025-07-23T00:00:00"/>
    <s v="Rajasthan"/>
    <s v="JHUNJHUNU"/>
    <x v="24"/>
    <x v="2"/>
    <x v="2"/>
    <s v="New Branch"/>
    <n v="0.04"/>
    <x v="0"/>
  </r>
  <r>
    <n v="159"/>
    <n v="60"/>
    <s v="Central Region"/>
    <x v="158"/>
    <s v="159(1A)"/>
    <x v="99"/>
    <s v="1-CA(7)/231/2025"/>
    <d v="2025-07-23T00:00:00"/>
    <s v="Rajasthan"/>
    <s v="NAGAUR"/>
    <x v="24"/>
    <x v="2"/>
    <x v="4"/>
    <s v="New Branch"/>
    <n v="0.04"/>
    <x v="0"/>
  </r>
  <r>
    <n v="160"/>
    <n v="61"/>
    <s v="Central Region"/>
    <x v="159"/>
    <s v="159(1)"/>
    <x v="29"/>
    <s v="1-CA(7)/236/2025"/>
    <d v="2025-11-04T00:00:00"/>
    <s v="Rajasthan"/>
    <s v="BHIWADI"/>
    <x v="24"/>
    <x v="2"/>
    <x v="4"/>
    <s v="New Branch"/>
    <n v="0.04"/>
    <x v="0"/>
  </r>
  <r>
    <n v="161"/>
    <n v="62"/>
    <s v="Central Region"/>
    <x v="160"/>
    <s v="159(1)"/>
    <x v="100"/>
    <s v="1-CA(7)/241/2025"/>
    <d v="2026-02-24T00:00:00"/>
    <s v="Chhattisgarh"/>
    <s v="KORBA"/>
    <x v="24"/>
    <x v="2"/>
    <x v="4"/>
    <m/>
    <n v="0.04"/>
    <x v="0"/>
  </r>
  <r>
    <n v="162"/>
    <n v="1"/>
    <s v="Norhtern Region"/>
    <x v="161"/>
    <s v="136(1)"/>
    <x v="101"/>
    <s v="1-CA(61)/73"/>
    <d v="1973-12-01T00:00:00"/>
    <s v="Chandigarh"/>
    <s v="CHANDIGARH"/>
    <x v="43"/>
    <x v="0"/>
    <x v="1"/>
    <m/>
    <n v="2.12"/>
    <x v="0"/>
  </r>
  <r>
    <n v="163"/>
    <n v="2"/>
    <s v="Norhtern Region"/>
    <x v="162"/>
    <s v="136(1)"/>
    <x v="60"/>
    <s v="1-CA(72)/74"/>
    <d v="1974-09-17T00:00:00"/>
    <s v="Punjab"/>
    <s v="LUDHIANA"/>
    <x v="3"/>
    <x v="0"/>
    <x v="1"/>
    <m/>
    <n v="2.08"/>
    <x v="0"/>
  </r>
  <r>
    <n v="164"/>
    <n v="3"/>
    <s v="Norhtern Region"/>
    <x v="163"/>
    <s v="136(1)"/>
    <x v="102"/>
    <s v="28-RC(1)/5/3/78"/>
    <d v="1978-11-03T00:00:00"/>
    <s v="Punjab"/>
    <s v="AMRITSAR"/>
    <x v="5"/>
    <x v="1"/>
    <x v="3"/>
    <m/>
    <n v="1.92"/>
    <x v="0"/>
  </r>
  <r>
    <n v="165"/>
    <n v="4"/>
    <s v="Norhtern Region"/>
    <x v="164"/>
    <s v="136(1)"/>
    <x v="34"/>
    <s v="28-RC(1)/5/4/80"/>
    <d v="1980-04-25T00:00:00"/>
    <s v="Haryana"/>
    <s v="FARIDABAD"/>
    <x v="25"/>
    <x v="1"/>
    <x v="1"/>
    <m/>
    <n v="1.84"/>
    <x v="0"/>
  </r>
  <r>
    <n v="166"/>
    <n v="5"/>
    <s v="Norhtern Region"/>
    <x v="165"/>
    <s v="136(1)"/>
    <x v="38"/>
    <s v="28-RC(5)/5/82"/>
    <d v="1982-01-11T00:00:00"/>
    <s v="Punjab"/>
    <s v="JALANDHAR"/>
    <x v="6"/>
    <x v="1"/>
    <x v="3"/>
    <m/>
    <n v="1.8"/>
    <x v="0"/>
  </r>
  <r>
    <n v="167"/>
    <n v="6"/>
    <s v="Norhtern Region"/>
    <x v="166"/>
    <s v="136(1)"/>
    <x v="10"/>
    <s v="28-RC(5)/6/87"/>
    <d v="1987-05-21T00:00:00"/>
    <s v="Haryana"/>
    <s v="YAMUNANAGAR"/>
    <x v="9"/>
    <x v="1"/>
    <x v="4"/>
    <m/>
    <n v="1.56"/>
    <x v="0"/>
  </r>
  <r>
    <n v="168"/>
    <n v="7"/>
    <s v="Norhtern Region"/>
    <x v="167"/>
    <s v="136(2)"/>
    <x v="42"/>
    <s v="28-RC(5)/7/87"/>
    <d v="1987-08-24T00:00:00"/>
    <s v="Jammu"/>
    <s v="JAMMU"/>
    <x v="9"/>
    <x v="1"/>
    <x v="2"/>
    <m/>
    <n v="1.56"/>
    <x v="0"/>
  </r>
  <r>
    <n v="169"/>
    <n v="8"/>
    <s v="Norhtern Region"/>
    <x v="168"/>
    <s v="159(2)"/>
    <x v="79"/>
    <s v="28-RC(9)/5/88"/>
    <d v="1988-09-01T00:00:00"/>
    <s v="Himachal Pradesh"/>
    <s v="SHIMLA"/>
    <x v="38"/>
    <x v="1"/>
    <x v="2"/>
    <m/>
    <n v="1.52"/>
    <x v="0"/>
  </r>
  <r>
    <n v="170"/>
    <n v="9"/>
    <s v="Norhtern Region"/>
    <x v="169"/>
    <s v="159(1)"/>
    <x v="79"/>
    <s v="28-RC(8)/5/88"/>
    <d v="1988-08-30T00:00:00"/>
    <s v="Haryana"/>
    <s v="HISAR"/>
    <x v="38"/>
    <x v="1"/>
    <x v="3"/>
    <m/>
    <n v="1.52"/>
    <x v="0"/>
  </r>
  <r>
    <n v="171"/>
    <n v="10"/>
    <s v="Norhtern Region"/>
    <x v="170"/>
    <s v="159(1)"/>
    <x v="83"/>
    <s v="1-CA(7)/36/98"/>
    <d v="1998-08-31T00:00:00"/>
    <s v="Haryana"/>
    <s v="ROHTAK"/>
    <x v="33"/>
    <x v="1"/>
    <x v="2"/>
    <m/>
    <n v="1.1200000000000001"/>
    <x v="0"/>
  </r>
  <r>
    <n v="172"/>
    <n v="11"/>
    <s v="Norhtern Region"/>
    <x v="171"/>
    <s v="159(1)"/>
    <x v="103"/>
    <s v="1-CA(7)/40/99"/>
    <d v="1999-03-30T00:00:00"/>
    <s v="Haryana"/>
    <s v="GURGAON"/>
    <x v="33"/>
    <x v="1"/>
    <x v="0"/>
    <m/>
    <n v="1.1200000000000001"/>
    <x v="0"/>
  </r>
  <r>
    <n v="173"/>
    <n v="12"/>
    <s v="Norhtern Region"/>
    <x v="172"/>
    <s v="159(1)"/>
    <x v="103"/>
    <s v="1-CA(7)/41/99"/>
    <d v="1999-03-30T00:00:00"/>
    <s v="Haryana"/>
    <s v="PANIPAT"/>
    <x v="33"/>
    <x v="1"/>
    <x v="2"/>
    <m/>
    <n v="1.1200000000000001"/>
    <x v="0"/>
  </r>
  <r>
    <n v="174"/>
    <n v="13"/>
    <s v="Norhtern Region"/>
    <x v="173"/>
    <s v="159(1)"/>
    <x v="104"/>
    <s v="1-CA(7)/42/99"/>
    <d v="1999-07-08T00:00:00"/>
    <s v="Punjab"/>
    <s v="PATIALA"/>
    <x v="39"/>
    <x v="1"/>
    <x v="2"/>
    <m/>
    <n v="1.08"/>
    <x v="0"/>
  </r>
  <r>
    <n v="175"/>
    <n v="14"/>
    <s v="Norhtern Region"/>
    <x v="174"/>
    <s v="159(1)"/>
    <x v="85"/>
    <s v="1-CA(7)49/2000"/>
    <d v="2000-04-07T00:00:00"/>
    <s v="Haryana"/>
    <s v="AMBALA"/>
    <x v="39"/>
    <x v="1"/>
    <x v="2"/>
    <m/>
    <n v="1.08"/>
    <x v="0"/>
  </r>
  <r>
    <n v="176"/>
    <n v="15"/>
    <s v="Norhtern Region"/>
    <x v="175"/>
    <s v="159(1)"/>
    <x v="85"/>
    <s v="1-CA(7)/50/2000"/>
    <d v="2000-04-07T00:00:00"/>
    <s v="Punjab"/>
    <s v="Bathinda"/>
    <x v="39"/>
    <x v="1"/>
    <x v="3"/>
    <m/>
    <n v="1.08"/>
    <x v="0"/>
  </r>
  <r>
    <n v="177"/>
    <n v="16"/>
    <s v="Norhtern Region"/>
    <x v="176"/>
    <s v="159(1)"/>
    <x v="47"/>
    <s v="1-CA(7)/57/2001"/>
    <d v="2001-05-10T00:00:00"/>
    <s v="Haryana"/>
    <s v="SONEPAT"/>
    <x v="10"/>
    <x v="1"/>
    <x v="2"/>
    <m/>
    <n v="1"/>
    <x v="1"/>
  </r>
  <r>
    <n v="178"/>
    <n v="17"/>
    <s v="Norhtern Region"/>
    <x v="177"/>
    <s v="159(1)"/>
    <x v="105"/>
    <s v="1-CA(7)/72/2004"/>
    <d v="2004-04-29T00:00:00"/>
    <s v="Haryana"/>
    <s v="KARNAL"/>
    <x v="12"/>
    <x v="2"/>
    <x v="2"/>
    <m/>
    <n v="0.92"/>
    <x v="0"/>
  </r>
  <r>
    <n v="179"/>
    <n v="18"/>
    <s v="Norhtern Region"/>
    <x v="178"/>
    <s v="159(1)"/>
    <x v="106"/>
    <s v="1-CA(7)/98/2006"/>
    <d v="2007-01-16T00:00:00"/>
    <s v="Punjab"/>
    <s v="SANGRUR"/>
    <x v="15"/>
    <x v="2"/>
    <x v="2"/>
    <m/>
    <n v="0.8"/>
    <x v="0"/>
  </r>
  <r>
    <n v="180"/>
    <n v="19"/>
    <s v="Norhtern Region"/>
    <x v="179"/>
    <s v="159(1A)"/>
    <x v="23"/>
    <s v="1-CA(7)/(154)/2013"/>
    <d v="2013-06-03T00:00:00"/>
    <s v="Haryana"/>
    <s v="REWARI"/>
    <x v="20"/>
    <x v="2"/>
    <x v="4"/>
    <m/>
    <n v="0.52"/>
    <x v="0"/>
  </r>
  <r>
    <n v="181"/>
    <n v="20"/>
    <s v="Norhtern Region"/>
    <x v="180"/>
    <s v="159(1A)"/>
    <x v="23"/>
    <s v="1-CA(7)/(153)/2013"/>
    <d v="2013-06-03T00:00:00"/>
    <s v="Haryana"/>
    <s v="SIRSA"/>
    <x v="20"/>
    <x v="2"/>
    <x v="4"/>
    <m/>
    <n v="0.52"/>
    <x v="0"/>
  </r>
  <r>
    <n v="182"/>
    <n v="21"/>
    <s v="Norhtern Region"/>
    <x v="181"/>
    <s v="159(1A)"/>
    <x v="26"/>
    <s v="1-CA(7)/(186)/2016"/>
    <d v="2016-12-19T00:00:00"/>
    <s v="Haryana"/>
    <s v="BAHADURGARH"/>
    <x v="22"/>
    <x v="2"/>
    <x v="4"/>
    <m/>
    <n v="0.4"/>
    <x v="0"/>
  </r>
  <r>
    <n v="183"/>
    <n v="22"/>
    <s v="Norhtern Region"/>
    <x v="182"/>
    <s v="159(1A)"/>
    <x v="26"/>
    <s v="1.CA(7)/(184)/2016"/>
    <d v="2016-10-19T00:00:00"/>
    <s v="Haryana"/>
    <s v="BHIWANI"/>
    <x v="22"/>
    <x v="2"/>
    <x v="2"/>
    <m/>
    <n v="0.4"/>
    <x v="0"/>
  </r>
  <r>
    <n v="184"/>
    <n v="23"/>
    <s v="Norhtern Region"/>
    <x v="183"/>
    <s v="159(1A)"/>
    <x v="26"/>
    <s v="1.CA(7)/(185)/2016"/>
    <d v="2016-10-19T00:00:00"/>
    <s v="Haryana"/>
    <s v="KAITHAL"/>
    <x v="22"/>
    <x v="2"/>
    <x v="4"/>
    <m/>
    <n v="0.4"/>
    <x v="0"/>
  </r>
  <r>
    <n v="185"/>
    <n v="24"/>
    <s v="Norhtern Region"/>
    <x v="184"/>
    <s v="159(1A)"/>
    <x v="26"/>
    <s v="1.CA(7)/(183)/2016"/>
    <d v="2016-10-19T00:00:00"/>
    <s v="Haryana"/>
    <s v="KURUKSHETRA"/>
    <x v="22"/>
    <x v="2"/>
    <x v="4"/>
    <m/>
    <n v="0.4"/>
    <x v="0"/>
  </r>
  <r>
    <n v="186"/>
    <n v="25"/>
    <s v="Norhtern Region"/>
    <x v="185"/>
    <s v="159(1)"/>
    <x v="95"/>
    <s v="1-CA(7)/213/2023"/>
    <d v="2023-09-29T00:00:00"/>
    <s v="Punjab"/>
    <s v="Mandi Gobind Garh"/>
    <x v="42"/>
    <x v="2"/>
    <x v="4"/>
    <m/>
    <n v="0.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6C48A-80E4-42D2-8CDC-AD79D4E6EFB0}" name="PivotTable2" cacheId="1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F3:H9" firstHeaderRow="1" firstDataRow="1" firstDataCol="2"/>
  <pivotFields count="11">
    <pivotField compact="0" outline="0" showAll="0" defaultSubtotal="0"/>
    <pivotField dataField="1" compact="0" outline="0" showAll="0" defaultSubtotal="0">
      <items count="191">
        <item x="1"/>
        <item x="153"/>
        <item x="154"/>
        <item x="2"/>
        <item x="155"/>
        <item x="3"/>
        <item x="4"/>
        <item x="104"/>
        <item x="5"/>
        <item x="92"/>
        <item x="156"/>
        <item x="78"/>
        <item x="157"/>
        <item x="105"/>
        <item x="64"/>
        <item x="158"/>
        <item x="98"/>
        <item x="106"/>
        <item x="6"/>
        <item x="159"/>
        <item x="95"/>
        <item x="7"/>
        <item x="107"/>
        <item x="108"/>
        <item x="48"/>
        <item x="8"/>
        <item x="160"/>
        <item x="161"/>
        <item x="9"/>
        <item x="10"/>
        <item x="61"/>
        <item x="99"/>
        <item x="11"/>
        <item x="65"/>
        <item x="185"/>
        <item x="12"/>
        <item x="13"/>
        <item x="76"/>
        <item x="47"/>
        <item x="109"/>
        <item x="79"/>
        <item x="14"/>
        <item x="60"/>
        <item x="0"/>
        <item x="110"/>
        <item x="66"/>
        <item x="53"/>
        <item x="15"/>
        <item x="16"/>
        <item x="162"/>
        <item x="67"/>
        <item x="68"/>
        <item x="63"/>
        <item x="111"/>
        <item x="112"/>
        <item x="80"/>
        <item x="163"/>
        <item x="188"/>
        <item x="17"/>
        <item x="164"/>
        <item x="189"/>
        <item x="18"/>
        <item x="113"/>
        <item x="89"/>
        <item x="69"/>
        <item x="19"/>
        <item x="46"/>
        <item x="49"/>
        <item x="45"/>
        <item x="81"/>
        <item x="114"/>
        <item x="115"/>
        <item x="187"/>
        <item x="20"/>
        <item x="21"/>
        <item x="22"/>
        <item x="82"/>
        <item x="165"/>
        <item x="83"/>
        <item x="166"/>
        <item x="23"/>
        <item x="24"/>
        <item x="75"/>
        <item x="59"/>
        <item x="25"/>
        <item x="148"/>
        <item x="100"/>
        <item x="116"/>
        <item x="146"/>
        <item x="186"/>
        <item x="147"/>
        <item x="117"/>
        <item x="118"/>
        <item x="87"/>
        <item x="150"/>
        <item x="26"/>
        <item x="167"/>
        <item x="62"/>
        <item x="27"/>
        <item x="119"/>
        <item x="120"/>
        <item x="121"/>
        <item x="101"/>
        <item x="168"/>
        <item x="28"/>
        <item x="84"/>
        <item x="122"/>
        <item x="102"/>
        <item x="51"/>
        <item x="123"/>
        <item x="29"/>
        <item x="30"/>
        <item x="31"/>
        <item x="190"/>
        <item x="32"/>
        <item x="55"/>
        <item x="124"/>
        <item x="58"/>
        <item x="169"/>
        <item x="170"/>
        <item x="171"/>
        <item x="172"/>
        <item x="173"/>
        <item x="54"/>
        <item x="125"/>
        <item x="77"/>
        <item x="151"/>
        <item x="33"/>
        <item x="126"/>
        <item x="127"/>
        <item x="34"/>
        <item x="90"/>
        <item x="91"/>
        <item x="35"/>
        <item x="174"/>
        <item x="128"/>
        <item x="175"/>
        <item x="129"/>
        <item x="56"/>
        <item x="36"/>
        <item x="130"/>
        <item x="176"/>
        <item x="52"/>
        <item x="37"/>
        <item x="70"/>
        <item x="38"/>
        <item x="177"/>
        <item x="97"/>
        <item x="85"/>
        <item x="71"/>
        <item x="39"/>
        <item x="131"/>
        <item x="72"/>
        <item x="178"/>
        <item x="93"/>
        <item x="179"/>
        <item x="50"/>
        <item x="86"/>
        <item x="40"/>
        <item x="73"/>
        <item x="103"/>
        <item x="96"/>
        <item x="132"/>
        <item x="180"/>
        <item x="94"/>
        <item x="41"/>
        <item x="181"/>
        <item x="182"/>
        <item x="135"/>
        <item x="74"/>
        <item x="136"/>
        <item x="133"/>
        <item x="134"/>
        <item x="137"/>
        <item x="57"/>
        <item x="138"/>
        <item x="139"/>
        <item x="42"/>
        <item x="140"/>
        <item x="43"/>
        <item x="183"/>
        <item x="44"/>
        <item x="184"/>
        <item x="141"/>
        <item x="142"/>
        <item x="143"/>
        <item x="149"/>
        <item x="144"/>
        <item x="145"/>
        <item x="152"/>
        <item x="8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3"/>
        <item x="2"/>
        <item x="1"/>
        <item x="4"/>
        <item x="5"/>
        <item x="0"/>
      </items>
    </pivotField>
    <pivotField axis="axisRow" compact="0" outline="0" showAll="0" defaultSubtotal="0">
      <items count="6">
        <item x="3"/>
        <item x="1"/>
        <item x="4"/>
        <item x="5"/>
        <item x="2"/>
        <item h="1" x="0"/>
      </items>
    </pivotField>
  </pivotFields>
  <rowFields count="2">
    <field x="9"/>
    <field x="10"/>
  </rowFields>
  <rowItems count="6">
    <i>
      <x/>
      <x/>
    </i>
    <i>
      <x v="1"/>
      <x v="4"/>
    </i>
    <i>
      <x v="2"/>
      <x v="1"/>
    </i>
    <i>
      <x v="3"/>
      <x v="2"/>
    </i>
    <i>
      <x v="4"/>
      <x v="3"/>
    </i>
    <i t="grand">
      <x/>
    </i>
  </rowItems>
  <colItems count="1">
    <i/>
  </colItems>
  <dataFields count="1">
    <dataField name="Count of UNIT NAME" fld="1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B2E02-8EB8-4B22-800D-5628E4C46072}" name="PivotTable1" cacheId="1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:D200" firstHeaderRow="1" firstDataRow="1" firstDataCol="3"/>
  <pivotFields count="11">
    <pivotField compact="0" outline="0" showAll="0"/>
    <pivotField axis="axisRow" dataField="1" compact="0" outline="0" showAll="0">
      <items count="192">
        <item x="1"/>
        <item x="153"/>
        <item x="154"/>
        <item x="2"/>
        <item x="155"/>
        <item x="3"/>
        <item x="4"/>
        <item x="104"/>
        <item x="5"/>
        <item x="92"/>
        <item x="156"/>
        <item x="78"/>
        <item x="157"/>
        <item x="105"/>
        <item x="64"/>
        <item x="158"/>
        <item x="98"/>
        <item x="106"/>
        <item x="6"/>
        <item x="159"/>
        <item x="95"/>
        <item x="7"/>
        <item x="107"/>
        <item x="108"/>
        <item x="48"/>
        <item x="8"/>
        <item x="160"/>
        <item x="161"/>
        <item x="9"/>
        <item x="10"/>
        <item x="61"/>
        <item x="99"/>
        <item x="11"/>
        <item x="65"/>
        <item x="185"/>
        <item x="12"/>
        <item x="13"/>
        <item x="76"/>
        <item x="47"/>
        <item x="109"/>
        <item x="79"/>
        <item x="14"/>
        <item x="60"/>
        <item x="0"/>
        <item x="110"/>
        <item x="66"/>
        <item x="53"/>
        <item x="15"/>
        <item x="16"/>
        <item x="162"/>
        <item x="67"/>
        <item x="68"/>
        <item x="63"/>
        <item x="111"/>
        <item x="112"/>
        <item x="80"/>
        <item x="163"/>
        <item x="188"/>
        <item x="17"/>
        <item x="164"/>
        <item x="189"/>
        <item x="18"/>
        <item x="113"/>
        <item x="89"/>
        <item x="69"/>
        <item x="19"/>
        <item x="46"/>
        <item x="49"/>
        <item x="45"/>
        <item x="81"/>
        <item x="114"/>
        <item x="115"/>
        <item x="187"/>
        <item x="20"/>
        <item x="21"/>
        <item x="22"/>
        <item x="82"/>
        <item x="165"/>
        <item x="83"/>
        <item x="166"/>
        <item x="23"/>
        <item x="24"/>
        <item x="75"/>
        <item x="59"/>
        <item x="25"/>
        <item x="148"/>
        <item x="100"/>
        <item x="116"/>
        <item x="146"/>
        <item x="186"/>
        <item x="147"/>
        <item x="117"/>
        <item x="118"/>
        <item x="87"/>
        <item x="150"/>
        <item x="26"/>
        <item x="167"/>
        <item x="62"/>
        <item x="27"/>
        <item x="119"/>
        <item x="120"/>
        <item x="121"/>
        <item x="101"/>
        <item x="168"/>
        <item x="28"/>
        <item x="84"/>
        <item x="122"/>
        <item x="102"/>
        <item x="51"/>
        <item x="123"/>
        <item x="29"/>
        <item x="30"/>
        <item x="31"/>
        <item x="190"/>
        <item x="32"/>
        <item x="55"/>
        <item x="124"/>
        <item x="58"/>
        <item x="169"/>
        <item x="170"/>
        <item x="171"/>
        <item x="172"/>
        <item x="173"/>
        <item x="54"/>
        <item x="125"/>
        <item x="77"/>
        <item x="151"/>
        <item x="33"/>
        <item x="126"/>
        <item x="127"/>
        <item x="34"/>
        <item x="90"/>
        <item x="91"/>
        <item x="35"/>
        <item x="174"/>
        <item x="128"/>
        <item x="175"/>
        <item x="129"/>
        <item x="56"/>
        <item x="36"/>
        <item x="130"/>
        <item x="176"/>
        <item x="52"/>
        <item x="37"/>
        <item x="70"/>
        <item x="38"/>
        <item x="177"/>
        <item x="97"/>
        <item x="85"/>
        <item x="71"/>
        <item x="39"/>
        <item x="131"/>
        <item x="72"/>
        <item x="178"/>
        <item x="93"/>
        <item x="179"/>
        <item x="50"/>
        <item x="86"/>
        <item x="40"/>
        <item x="73"/>
        <item x="103"/>
        <item x="96"/>
        <item x="132"/>
        <item x="180"/>
        <item x="94"/>
        <item x="41"/>
        <item x="181"/>
        <item x="182"/>
        <item x="135"/>
        <item x="74"/>
        <item x="136"/>
        <item x="133"/>
        <item x="134"/>
        <item x="137"/>
        <item x="57"/>
        <item x="138"/>
        <item x="139"/>
        <item x="42"/>
        <item x="140"/>
        <item x="43"/>
        <item x="183"/>
        <item x="44"/>
        <item x="184"/>
        <item x="141"/>
        <item x="142"/>
        <item x="143"/>
        <item x="149"/>
        <item x="144"/>
        <item x="145"/>
        <item x="152"/>
        <item x="8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2"/>
        <item x="1"/>
        <item x="4"/>
        <item x="5"/>
        <item h="1" x="0"/>
        <item t="default"/>
      </items>
    </pivotField>
    <pivotField axis="axisRow" compact="0" outline="0" showAll="0">
      <items count="7">
        <item x="3"/>
        <item x="1"/>
        <item x="4"/>
        <item x="5"/>
        <item x="2"/>
        <item x="0"/>
        <item t="default"/>
      </items>
    </pivotField>
  </pivotFields>
  <rowFields count="3">
    <field x="9"/>
    <field x="10"/>
    <field x="1"/>
  </rowFields>
  <rowItems count="197">
    <i>
      <x/>
      <x/>
      <x v="5"/>
    </i>
    <i r="2">
      <x v="12"/>
    </i>
    <i r="2">
      <x v="14"/>
    </i>
    <i r="2">
      <x v="16"/>
    </i>
    <i r="2">
      <x v="22"/>
    </i>
    <i r="2">
      <x v="23"/>
    </i>
    <i r="2">
      <x v="24"/>
    </i>
    <i r="2">
      <x v="25"/>
    </i>
    <i r="2">
      <x v="26"/>
    </i>
    <i r="2">
      <x v="30"/>
    </i>
    <i r="2">
      <x v="34"/>
    </i>
    <i r="2">
      <x v="36"/>
    </i>
    <i r="2">
      <x v="37"/>
    </i>
    <i r="2">
      <x v="38"/>
    </i>
    <i r="2">
      <x v="42"/>
    </i>
    <i r="2">
      <x v="45"/>
    </i>
    <i r="2">
      <x v="46"/>
    </i>
    <i r="2">
      <x v="49"/>
    </i>
    <i r="2">
      <x v="50"/>
    </i>
    <i r="2">
      <x v="51"/>
    </i>
    <i r="2">
      <x v="54"/>
    </i>
    <i r="2">
      <x v="60"/>
    </i>
    <i r="2">
      <x v="66"/>
    </i>
    <i r="2">
      <x v="67"/>
    </i>
    <i r="2">
      <x v="68"/>
    </i>
    <i r="2">
      <x v="70"/>
    </i>
    <i r="2">
      <x v="72"/>
    </i>
    <i r="2">
      <x v="81"/>
    </i>
    <i r="2">
      <x v="82"/>
    </i>
    <i r="2">
      <x v="86"/>
    </i>
    <i r="2">
      <x v="88"/>
    </i>
    <i r="2">
      <x v="94"/>
    </i>
    <i r="2">
      <x v="97"/>
    </i>
    <i r="2">
      <x v="100"/>
    </i>
    <i r="2">
      <x v="102"/>
    </i>
    <i r="2">
      <x v="103"/>
    </i>
    <i r="2">
      <x v="107"/>
    </i>
    <i r="2">
      <x v="108"/>
    </i>
    <i r="2">
      <x v="113"/>
    </i>
    <i r="2">
      <x v="115"/>
    </i>
    <i r="2">
      <x v="117"/>
    </i>
    <i r="2">
      <x v="119"/>
    </i>
    <i r="2">
      <x v="122"/>
    </i>
    <i r="2">
      <x v="123"/>
    </i>
    <i r="2">
      <x v="126"/>
    </i>
    <i r="2">
      <x v="130"/>
    </i>
    <i r="2">
      <x v="135"/>
    </i>
    <i r="2">
      <x v="137"/>
    </i>
    <i r="2">
      <x v="138"/>
    </i>
    <i r="2">
      <x v="142"/>
    </i>
    <i r="2">
      <x v="144"/>
    </i>
    <i r="2">
      <x v="145"/>
    </i>
    <i r="2">
      <x v="146"/>
    </i>
    <i r="2">
      <x v="147"/>
    </i>
    <i r="2">
      <x v="149"/>
    </i>
    <i r="2">
      <x v="150"/>
    </i>
    <i r="2">
      <x v="152"/>
    </i>
    <i r="2">
      <x v="153"/>
    </i>
    <i r="2">
      <x v="155"/>
    </i>
    <i r="2">
      <x v="156"/>
    </i>
    <i r="2">
      <x v="161"/>
    </i>
    <i r="2">
      <x v="162"/>
    </i>
    <i r="2">
      <x v="163"/>
    </i>
    <i r="2">
      <x v="165"/>
    </i>
    <i r="2">
      <x v="169"/>
    </i>
    <i r="2">
      <x v="171"/>
    </i>
    <i r="2">
      <x v="174"/>
    </i>
    <i r="2">
      <x v="176"/>
    </i>
    <i r="2">
      <x v="183"/>
    </i>
    <i r="2">
      <x v="186"/>
    </i>
    <i r="2">
      <x v="187"/>
    </i>
    <i r="2">
      <x v="190"/>
    </i>
    <i t="default" r="1">
      <x/>
    </i>
    <i t="default">
      <x/>
    </i>
    <i>
      <x v="1"/>
      <x v="4"/>
      <x v="2"/>
    </i>
    <i r="2"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3"/>
    </i>
    <i r="2">
      <x v="18"/>
    </i>
    <i r="2">
      <x v="21"/>
    </i>
    <i r="2">
      <x v="27"/>
    </i>
    <i r="2">
      <x v="28"/>
    </i>
    <i r="2">
      <x v="31"/>
    </i>
    <i r="2">
      <x v="35"/>
    </i>
    <i r="2">
      <x v="41"/>
    </i>
    <i r="2">
      <x v="48"/>
    </i>
    <i r="2">
      <x v="56"/>
    </i>
    <i r="2">
      <x v="57"/>
    </i>
    <i r="2">
      <x v="59"/>
    </i>
    <i r="2">
      <x v="61"/>
    </i>
    <i r="2">
      <x v="65"/>
    </i>
    <i r="2">
      <x v="74"/>
    </i>
    <i r="2">
      <x v="77"/>
    </i>
    <i r="2">
      <x v="78"/>
    </i>
    <i r="2">
      <x v="79"/>
    </i>
    <i r="2">
      <x v="80"/>
    </i>
    <i r="2">
      <x v="83"/>
    </i>
    <i r="2">
      <x v="85"/>
    </i>
    <i r="2">
      <x v="87"/>
    </i>
    <i r="2">
      <x v="91"/>
    </i>
    <i r="2">
      <x v="92"/>
    </i>
    <i r="2">
      <x v="93"/>
    </i>
    <i r="2">
      <x v="95"/>
    </i>
    <i r="2">
      <x v="96"/>
    </i>
    <i r="2">
      <x v="99"/>
    </i>
    <i r="2">
      <x v="101"/>
    </i>
    <i r="2">
      <x v="106"/>
    </i>
    <i r="2">
      <x v="110"/>
    </i>
    <i r="2">
      <x v="112"/>
    </i>
    <i r="2">
      <x v="114"/>
    </i>
    <i r="2">
      <x v="116"/>
    </i>
    <i r="2">
      <x v="124"/>
    </i>
    <i r="2">
      <x v="128"/>
    </i>
    <i r="2">
      <x v="129"/>
    </i>
    <i r="2">
      <x v="131"/>
    </i>
    <i r="2">
      <x v="132"/>
    </i>
    <i r="2">
      <x v="140"/>
    </i>
    <i r="2">
      <x v="148"/>
    </i>
    <i r="2">
      <x v="151"/>
    </i>
    <i r="2">
      <x v="154"/>
    </i>
    <i r="2">
      <x v="157"/>
    </i>
    <i r="2">
      <x v="158"/>
    </i>
    <i r="2">
      <x v="159"/>
    </i>
    <i r="2">
      <x v="164"/>
    </i>
    <i r="2">
      <x v="170"/>
    </i>
    <i r="2">
      <x v="173"/>
    </i>
    <i r="2">
      <x v="178"/>
    </i>
    <i r="2">
      <x v="179"/>
    </i>
    <i r="2">
      <x v="180"/>
    </i>
    <i r="2">
      <x v="181"/>
    </i>
    <i r="2">
      <x v="188"/>
    </i>
    <i t="default" r="1">
      <x v="4"/>
    </i>
    <i t="default">
      <x v="1"/>
    </i>
    <i>
      <x v="2"/>
      <x v="1"/>
      <x/>
    </i>
    <i r="2">
      <x v="11"/>
    </i>
    <i r="2">
      <x v="15"/>
    </i>
    <i r="2">
      <x v="20"/>
    </i>
    <i r="2">
      <x v="29"/>
    </i>
    <i r="2">
      <x v="32"/>
    </i>
    <i r="2">
      <x v="33"/>
    </i>
    <i r="2">
      <x v="39"/>
    </i>
    <i r="2">
      <x v="44"/>
    </i>
    <i r="2">
      <x v="47"/>
    </i>
    <i r="2">
      <x v="62"/>
    </i>
    <i r="2">
      <x v="64"/>
    </i>
    <i r="2">
      <x v="69"/>
    </i>
    <i r="2">
      <x v="76"/>
    </i>
    <i r="2">
      <x v="98"/>
    </i>
    <i r="2">
      <x v="109"/>
    </i>
    <i r="2">
      <x v="111"/>
    </i>
    <i r="2">
      <x v="120"/>
    </i>
    <i r="2">
      <x v="133"/>
    </i>
    <i r="2">
      <x v="139"/>
    </i>
    <i r="2">
      <x v="143"/>
    </i>
    <i r="2">
      <x v="168"/>
    </i>
    <i r="2">
      <x v="172"/>
    </i>
    <i r="2">
      <x v="175"/>
    </i>
    <i r="2">
      <x v="177"/>
    </i>
    <i r="2">
      <x v="184"/>
    </i>
    <i r="2">
      <x v="185"/>
    </i>
    <i t="default" r="1">
      <x v="1"/>
    </i>
    <i t="default">
      <x v="2"/>
    </i>
    <i>
      <x v="3"/>
      <x v="2"/>
      <x v="19"/>
    </i>
    <i r="2">
      <x v="40"/>
    </i>
    <i r="2">
      <x v="53"/>
    </i>
    <i r="2">
      <x v="55"/>
    </i>
    <i r="2">
      <x v="58"/>
    </i>
    <i r="2">
      <x v="84"/>
    </i>
    <i r="2">
      <x v="89"/>
    </i>
    <i r="2">
      <x v="90"/>
    </i>
    <i r="2">
      <x v="104"/>
    </i>
    <i r="2">
      <x v="105"/>
    </i>
    <i r="2">
      <x v="118"/>
    </i>
    <i r="2">
      <x v="121"/>
    </i>
    <i r="2">
      <x v="127"/>
    </i>
    <i r="2">
      <x v="134"/>
    </i>
    <i r="2">
      <x v="141"/>
    </i>
    <i r="2">
      <x v="182"/>
    </i>
    <i t="default" r="1">
      <x v="2"/>
    </i>
    <i t="default">
      <x v="3"/>
    </i>
    <i>
      <x v="4"/>
      <x v="3"/>
      <x v="1"/>
    </i>
    <i r="2">
      <x v="17"/>
    </i>
    <i r="2">
      <x v="63"/>
    </i>
    <i r="2">
      <x v="71"/>
    </i>
    <i r="2">
      <x v="73"/>
    </i>
    <i r="2">
      <x v="75"/>
    </i>
    <i r="2">
      <x v="136"/>
    </i>
    <i r="2">
      <x v="166"/>
    </i>
    <i r="2">
      <x v="167"/>
    </i>
    <i t="default" r="1">
      <x v="3"/>
    </i>
    <i t="default">
      <x v="4"/>
    </i>
    <i t="grand">
      <x/>
    </i>
  </rowItems>
  <colItems count="1">
    <i/>
  </colItems>
  <dataFields count="1">
    <dataField name="Count of UNIT NAME" fld="1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C1745-B298-493F-A362-9C13AEF215EA}" name="PivotTable7" cacheId="20" applyNumberFormats="0" applyBorderFormats="0" applyFontFormats="0" applyPatternFormats="0" applyAlignmentFormats="0" applyWidthHeightFormats="1" dataCaption="Values" tag="c6754f09-47d5-44b4-b7e7-c9586a7717a7" updatedVersion="8" minRefreshableVersion="3" rowGrandTotals="0" colGrandTotals="0" itemPrintTitles="1" createdVersion="5" indent="0" multipleFieldFilters="0" rowHeaderCaption="REGION">
  <location ref="A3:E8" firstHeaderRow="0" firstDataRow="1" firstDataCol="1"/>
  <pivotFields count="5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51">
    <format dxfId="1156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155">
      <pivotArea collapsedLevelsAreSubtotals="1" fieldPosition="0">
        <references count="2">
          <reference field="4294967294" count="1" selected="0">
            <x v="3"/>
          </reference>
          <reference field="0" count="0"/>
        </references>
      </pivotArea>
    </format>
    <format dxfId="1154">
      <pivotArea type="all" dataOnly="0" outline="0" fieldPosition="0"/>
    </format>
    <format dxfId="1153">
      <pivotArea outline="0" collapsedLevelsAreSubtotals="1" fieldPosition="0"/>
    </format>
    <format dxfId="1152">
      <pivotArea field="0" type="button" dataOnly="0" labelOnly="1" outline="0" axis="axisRow" fieldPosition="0"/>
    </format>
    <format dxfId="1151">
      <pivotArea dataOnly="0" labelOnly="1" fieldPosition="0">
        <references count="1">
          <reference field="0" count="0"/>
        </references>
      </pivotArea>
    </format>
    <format dxfId="11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49">
      <pivotArea type="all" dataOnly="0" outline="0" fieldPosition="0"/>
    </format>
    <format dxfId="1148">
      <pivotArea field="0" type="button" dataOnly="0" labelOnly="1" outline="0" axis="axisRow" fieldPosition="0"/>
    </format>
    <format dxfId="114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46">
      <pivotArea field="0" type="button" dataOnly="0" labelOnly="1" outline="0" axis="axisRow" fieldPosition="0"/>
    </format>
    <format dxfId="114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44">
      <pivotArea type="all" dataOnly="0" outline="0" fieldPosition="0"/>
    </format>
    <format dxfId="1143">
      <pivotArea outline="0" collapsedLevelsAreSubtotals="1" fieldPosition="0"/>
    </format>
    <format dxfId="1142">
      <pivotArea field="0" type="button" dataOnly="0" labelOnly="1" outline="0" axis="axisRow" fieldPosition="0"/>
    </format>
    <format dxfId="1141">
      <pivotArea dataOnly="0" labelOnly="1" fieldPosition="0">
        <references count="1">
          <reference field="0" count="0"/>
        </references>
      </pivotArea>
    </format>
    <format dxfId="114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39">
      <pivotArea field="0" type="button" dataOnly="0" labelOnly="1" outline="0" axis="axisRow" fieldPosition="0"/>
    </format>
    <format dxfId="113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37">
      <pivotArea outline="0" collapsedLevelsAreSubtotals="1" fieldPosition="0"/>
    </format>
    <format dxfId="1136">
      <pivotArea dataOnly="0" labelOnly="1" fieldPosition="0">
        <references count="1">
          <reference field="0" count="0"/>
        </references>
      </pivotArea>
    </format>
    <format dxfId="1135">
      <pivotArea type="all" dataOnly="0" outline="0" fieldPosition="0"/>
    </format>
    <format dxfId="1134">
      <pivotArea outline="0" collapsedLevelsAreSubtotals="1" fieldPosition="0"/>
    </format>
    <format dxfId="1133">
      <pivotArea field="0" type="button" dataOnly="0" labelOnly="1" outline="0" axis="axisRow" fieldPosition="0"/>
    </format>
    <format dxfId="1132">
      <pivotArea dataOnly="0" labelOnly="1" fieldPosition="0">
        <references count="1">
          <reference field="0" count="0"/>
        </references>
      </pivotArea>
    </format>
    <format dxfId="11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30">
      <pivotArea type="all" dataOnly="0" outline="0" fieldPosition="0"/>
    </format>
    <format dxfId="1129">
      <pivotArea outline="0" collapsedLevelsAreSubtotals="1" fieldPosition="0"/>
    </format>
    <format dxfId="1128">
      <pivotArea field="0" type="button" dataOnly="0" labelOnly="1" outline="0" axis="axisRow" fieldPosition="0"/>
    </format>
    <format dxfId="1127">
      <pivotArea dataOnly="0" labelOnly="1" fieldPosition="0">
        <references count="1">
          <reference field="0" count="0"/>
        </references>
      </pivotArea>
    </format>
    <format dxfId="11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25">
      <pivotArea type="all" dataOnly="0" outline="0" fieldPosition="0"/>
    </format>
    <format dxfId="1124">
      <pivotArea outline="0" collapsedLevelsAreSubtotals="1" fieldPosition="0"/>
    </format>
    <format dxfId="1123">
      <pivotArea field="0" type="button" dataOnly="0" labelOnly="1" outline="0" axis="axisRow" fieldPosition="0"/>
    </format>
    <format dxfId="1122">
      <pivotArea dataOnly="0" labelOnly="1" fieldPosition="0">
        <references count="1">
          <reference field="0" count="0"/>
        </references>
      </pivotArea>
    </format>
    <format dxfId="11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20">
      <pivotArea type="all" dataOnly="0" outline="0" fieldPosition="0"/>
    </format>
    <format dxfId="1119">
      <pivotArea outline="0" collapsedLevelsAreSubtotals="1" fieldPosition="0"/>
    </format>
    <format dxfId="1118">
      <pivotArea field="0" type="button" dataOnly="0" labelOnly="1" outline="0" axis="axisRow" fieldPosition="0"/>
    </format>
    <format dxfId="1117">
      <pivotArea dataOnly="0" labelOnly="1" fieldPosition="0">
        <references count="1">
          <reference field="0" count="0"/>
        </references>
      </pivotArea>
    </format>
    <format dxfId="11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15">
      <pivotArea type="all" dataOnly="0" outline="0" fieldPosition="0"/>
    </format>
    <format dxfId="1114">
      <pivotArea outline="0" collapsedLevelsAreSubtotals="1" fieldPosition="0"/>
    </format>
    <format dxfId="1113">
      <pivotArea field="0" type="button" dataOnly="0" labelOnly="1" outline="0" axis="axisRow" fieldPosition="0"/>
    </format>
    <format dxfId="1112">
      <pivotArea dataOnly="0" labelOnly="1" fieldPosition="0">
        <references count="1">
          <reference field="0" count="0"/>
        </references>
      </pivotArea>
    </format>
    <format dxfId="11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10">
      <pivotArea type="all" dataOnly="0" outline="0" fieldPosition="0"/>
    </format>
    <format dxfId="1109">
      <pivotArea outline="0" collapsedLevelsAreSubtotals="1" fieldPosition="0"/>
    </format>
    <format dxfId="1108">
      <pivotArea field="0" type="button" dataOnly="0" labelOnly="1" outline="0" axis="axisRow" fieldPosition="0"/>
    </format>
    <format dxfId="1107">
      <pivotArea dataOnly="0" labelOnly="1" fieldPosition="0">
        <references count="1">
          <reference field="0" count="0"/>
        </references>
      </pivotArea>
    </format>
    <format dxfId="110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1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AC748-7D1C-46BA-B501-1A6C4A4773CA}" name="PivotTable2" cacheId="1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0:C222" firstHeaderRow="1" firstDataRow="1" firstDataCol="2"/>
  <pivotFields count="11">
    <pivotField compact="0" outline="0" showAll="0"/>
    <pivotField axis="axisRow" dataField="1" compact="0" outline="0" showAll="0">
      <items count="192">
        <item x="1"/>
        <item x="153"/>
        <item x="154"/>
        <item x="2"/>
        <item x="155"/>
        <item x="3"/>
        <item x="4"/>
        <item x="104"/>
        <item x="5"/>
        <item x="92"/>
        <item x="156"/>
        <item x="78"/>
        <item x="157"/>
        <item x="105"/>
        <item x="64"/>
        <item x="158"/>
        <item x="98"/>
        <item x="106"/>
        <item x="6"/>
        <item x="159"/>
        <item x="95"/>
        <item x="7"/>
        <item x="107"/>
        <item x="108"/>
        <item x="48"/>
        <item x="8"/>
        <item x="160"/>
        <item x="161"/>
        <item x="9"/>
        <item x="10"/>
        <item x="61"/>
        <item x="99"/>
        <item x="11"/>
        <item x="65"/>
        <item x="185"/>
        <item x="12"/>
        <item x="13"/>
        <item x="76"/>
        <item x="47"/>
        <item x="109"/>
        <item x="79"/>
        <item x="14"/>
        <item x="60"/>
        <item x="0"/>
        <item x="110"/>
        <item x="66"/>
        <item x="53"/>
        <item x="15"/>
        <item x="16"/>
        <item x="162"/>
        <item x="67"/>
        <item x="68"/>
        <item x="63"/>
        <item x="111"/>
        <item x="112"/>
        <item x="80"/>
        <item x="163"/>
        <item x="188"/>
        <item x="17"/>
        <item x="164"/>
        <item x="189"/>
        <item x="18"/>
        <item x="113"/>
        <item x="89"/>
        <item x="69"/>
        <item x="19"/>
        <item x="46"/>
        <item x="49"/>
        <item x="45"/>
        <item x="81"/>
        <item x="114"/>
        <item x="115"/>
        <item x="187"/>
        <item x="20"/>
        <item x="21"/>
        <item x="22"/>
        <item x="82"/>
        <item x="165"/>
        <item x="83"/>
        <item x="166"/>
        <item x="23"/>
        <item x="24"/>
        <item x="75"/>
        <item x="59"/>
        <item x="25"/>
        <item x="148"/>
        <item x="100"/>
        <item x="116"/>
        <item x="146"/>
        <item x="186"/>
        <item x="147"/>
        <item x="117"/>
        <item x="118"/>
        <item x="87"/>
        <item x="150"/>
        <item x="26"/>
        <item x="167"/>
        <item x="62"/>
        <item x="27"/>
        <item x="119"/>
        <item x="120"/>
        <item x="121"/>
        <item x="101"/>
        <item x="168"/>
        <item x="28"/>
        <item x="84"/>
        <item x="122"/>
        <item x="102"/>
        <item x="51"/>
        <item x="123"/>
        <item x="29"/>
        <item x="30"/>
        <item x="31"/>
        <item x="190"/>
        <item x="32"/>
        <item x="55"/>
        <item x="124"/>
        <item x="58"/>
        <item x="169"/>
        <item x="170"/>
        <item x="171"/>
        <item x="172"/>
        <item x="173"/>
        <item x="54"/>
        <item x="125"/>
        <item x="77"/>
        <item x="151"/>
        <item x="33"/>
        <item x="126"/>
        <item x="127"/>
        <item x="34"/>
        <item x="90"/>
        <item x="91"/>
        <item x="35"/>
        <item x="174"/>
        <item x="128"/>
        <item x="175"/>
        <item x="129"/>
        <item x="56"/>
        <item x="36"/>
        <item x="130"/>
        <item x="176"/>
        <item x="52"/>
        <item x="37"/>
        <item x="70"/>
        <item x="38"/>
        <item x="177"/>
        <item x="97"/>
        <item x="85"/>
        <item x="71"/>
        <item x="39"/>
        <item x="131"/>
        <item x="72"/>
        <item x="178"/>
        <item x="93"/>
        <item x="179"/>
        <item x="50"/>
        <item x="86"/>
        <item x="40"/>
        <item x="73"/>
        <item x="103"/>
        <item x="96"/>
        <item x="132"/>
        <item x="180"/>
        <item x="94"/>
        <item x="41"/>
        <item x="181"/>
        <item x="182"/>
        <item x="135"/>
        <item x="74"/>
        <item x="136"/>
        <item x="133"/>
        <item x="134"/>
        <item x="137"/>
        <item x="57"/>
        <item x="138"/>
        <item x="139"/>
        <item x="42"/>
        <item x="140"/>
        <item x="43"/>
        <item x="183"/>
        <item x="44"/>
        <item x="184"/>
        <item x="141"/>
        <item x="142"/>
        <item x="143"/>
        <item x="149"/>
        <item x="144"/>
        <item x="145"/>
        <item x="152"/>
        <item x="8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2"/>
        <item x="1"/>
        <item x="4"/>
        <item x="5"/>
        <item h="1" x="0"/>
        <item t="default"/>
      </items>
    </pivotField>
    <pivotField compact="0" outline="0" showAll="0"/>
  </pivotFields>
  <rowFields count="2">
    <field x="9"/>
    <field x="1"/>
  </rowFields>
  <rowItems count="192">
    <i>
      <x/>
      <x v="5"/>
    </i>
    <i r="1">
      <x v="12"/>
    </i>
    <i r="1">
      <x v="14"/>
    </i>
    <i r="1">
      <x v="16"/>
    </i>
    <i r="1">
      <x v="22"/>
    </i>
    <i r="1">
      <x v="23"/>
    </i>
    <i r="1">
      <x v="24"/>
    </i>
    <i r="1">
      <x v="25"/>
    </i>
    <i r="1">
      <x v="26"/>
    </i>
    <i r="1">
      <x v="30"/>
    </i>
    <i r="1">
      <x v="34"/>
    </i>
    <i r="1">
      <x v="36"/>
    </i>
    <i r="1">
      <x v="37"/>
    </i>
    <i r="1">
      <x v="38"/>
    </i>
    <i r="1">
      <x v="42"/>
    </i>
    <i r="1">
      <x v="45"/>
    </i>
    <i r="1">
      <x v="46"/>
    </i>
    <i r="1">
      <x v="49"/>
    </i>
    <i r="1">
      <x v="50"/>
    </i>
    <i r="1">
      <x v="51"/>
    </i>
    <i r="1">
      <x v="54"/>
    </i>
    <i r="1">
      <x v="60"/>
    </i>
    <i r="1">
      <x v="66"/>
    </i>
    <i r="1">
      <x v="67"/>
    </i>
    <i r="1">
      <x v="68"/>
    </i>
    <i r="1">
      <x v="70"/>
    </i>
    <i r="1">
      <x v="72"/>
    </i>
    <i r="1">
      <x v="81"/>
    </i>
    <i r="1">
      <x v="82"/>
    </i>
    <i r="1">
      <x v="86"/>
    </i>
    <i r="1">
      <x v="88"/>
    </i>
    <i r="1">
      <x v="94"/>
    </i>
    <i r="1">
      <x v="97"/>
    </i>
    <i r="1">
      <x v="100"/>
    </i>
    <i r="1">
      <x v="102"/>
    </i>
    <i r="1">
      <x v="103"/>
    </i>
    <i r="1">
      <x v="107"/>
    </i>
    <i r="1">
      <x v="108"/>
    </i>
    <i r="1">
      <x v="113"/>
    </i>
    <i r="1">
      <x v="115"/>
    </i>
    <i r="1">
      <x v="117"/>
    </i>
    <i r="1">
      <x v="119"/>
    </i>
    <i r="1">
      <x v="122"/>
    </i>
    <i r="1">
      <x v="123"/>
    </i>
    <i r="1">
      <x v="126"/>
    </i>
    <i r="1">
      <x v="130"/>
    </i>
    <i r="1">
      <x v="135"/>
    </i>
    <i r="1">
      <x v="137"/>
    </i>
    <i r="1">
      <x v="138"/>
    </i>
    <i r="1">
      <x v="142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152"/>
    </i>
    <i r="1">
      <x v="153"/>
    </i>
    <i r="1">
      <x v="155"/>
    </i>
    <i r="1">
      <x v="156"/>
    </i>
    <i r="1">
      <x v="161"/>
    </i>
    <i r="1">
      <x v="162"/>
    </i>
    <i r="1">
      <x v="163"/>
    </i>
    <i r="1">
      <x v="165"/>
    </i>
    <i r="1">
      <x v="169"/>
    </i>
    <i r="1">
      <x v="171"/>
    </i>
    <i r="1">
      <x v="174"/>
    </i>
    <i r="1">
      <x v="176"/>
    </i>
    <i r="1">
      <x v="183"/>
    </i>
    <i r="1">
      <x v="186"/>
    </i>
    <i r="1">
      <x v="187"/>
    </i>
    <i r="1">
      <x v="190"/>
    </i>
    <i t="default">
      <x/>
    </i>
    <i>
      <x v="1"/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8"/>
    </i>
    <i r="1">
      <x v="21"/>
    </i>
    <i r="1">
      <x v="27"/>
    </i>
    <i r="1">
      <x v="28"/>
    </i>
    <i r="1">
      <x v="31"/>
    </i>
    <i r="1">
      <x v="35"/>
    </i>
    <i r="1">
      <x v="41"/>
    </i>
    <i r="1">
      <x v="48"/>
    </i>
    <i r="1">
      <x v="56"/>
    </i>
    <i r="1">
      <x v="57"/>
    </i>
    <i r="1">
      <x v="59"/>
    </i>
    <i r="1">
      <x v="61"/>
    </i>
    <i r="1">
      <x v="65"/>
    </i>
    <i r="1">
      <x v="74"/>
    </i>
    <i r="1">
      <x v="77"/>
    </i>
    <i r="1">
      <x v="78"/>
    </i>
    <i r="1">
      <x v="79"/>
    </i>
    <i r="1">
      <x v="80"/>
    </i>
    <i r="1">
      <x v="83"/>
    </i>
    <i r="1">
      <x v="85"/>
    </i>
    <i r="1">
      <x v="87"/>
    </i>
    <i r="1">
      <x v="91"/>
    </i>
    <i r="1">
      <x v="92"/>
    </i>
    <i r="1">
      <x v="93"/>
    </i>
    <i r="1">
      <x v="95"/>
    </i>
    <i r="1">
      <x v="96"/>
    </i>
    <i r="1">
      <x v="99"/>
    </i>
    <i r="1">
      <x v="101"/>
    </i>
    <i r="1">
      <x v="106"/>
    </i>
    <i r="1">
      <x v="110"/>
    </i>
    <i r="1">
      <x v="112"/>
    </i>
    <i r="1">
      <x v="114"/>
    </i>
    <i r="1">
      <x v="116"/>
    </i>
    <i r="1">
      <x v="124"/>
    </i>
    <i r="1">
      <x v="128"/>
    </i>
    <i r="1">
      <x v="129"/>
    </i>
    <i r="1">
      <x v="131"/>
    </i>
    <i r="1">
      <x v="132"/>
    </i>
    <i r="1">
      <x v="140"/>
    </i>
    <i r="1">
      <x v="148"/>
    </i>
    <i r="1">
      <x v="151"/>
    </i>
    <i r="1">
      <x v="154"/>
    </i>
    <i r="1">
      <x v="157"/>
    </i>
    <i r="1">
      <x v="158"/>
    </i>
    <i r="1">
      <x v="159"/>
    </i>
    <i r="1">
      <x v="164"/>
    </i>
    <i r="1">
      <x v="170"/>
    </i>
    <i r="1">
      <x v="173"/>
    </i>
    <i r="1">
      <x v="178"/>
    </i>
    <i r="1">
      <x v="179"/>
    </i>
    <i r="1">
      <x v="180"/>
    </i>
    <i r="1">
      <x v="181"/>
    </i>
    <i r="1">
      <x v="188"/>
    </i>
    <i t="default">
      <x v="1"/>
    </i>
    <i>
      <x v="2"/>
      <x/>
    </i>
    <i r="1">
      <x v="11"/>
    </i>
    <i r="1">
      <x v="15"/>
    </i>
    <i r="1">
      <x v="20"/>
    </i>
    <i r="1">
      <x v="29"/>
    </i>
    <i r="1">
      <x v="32"/>
    </i>
    <i r="1">
      <x v="33"/>
    </i>
    <i r="1">
      <x v="39"/>
    </i>
    <i r="1">
      <x v="44"/>
    </i>
    <i r="1">
      <x v="47"/>
    </i>
    <i r="1">
      <x v="62"/>
    </i>
    <i r="1">
      <x v="64"/>
    </i>
    <i r="1">
      <x v="69"/>
    </i>
    <i r="1">
      <x v="76"/>
    </i>
    <i r="1">
      <x v="98"/>
    </i>
    <i r="1">
      <x v="109"/>
    </i>
    <i r="1">
      <x v="111"/>
    </i>
    <i r="1">
      <x v="120"/>
    </i>
    <i r="1">
      <x v="133"/>
    </i>
    <i r="1">
      <x v="139"/>
    </i>
    <i r="1">
      <x v="143"/>
    </i>
    <i r="1">
      <x v="168"/>
    </i>
    <i r="1">
      <x v="172"/>
    </i>
    <i r="1">
      <x v="175"/>
    </i>
    <i r="1">
      <x v="177"/>
    </i>
    <i r="1">
      <x v="184"/>
    </i>
    <i r="1">
      <x v="185"/>
    </i>
    <i t="default">
      <x v="2"/>
    </i>
    <i>
      <x v="3"/>
      <x v="19"/>
    </i>
    <i r="1">
      <x v="40"/>
    </i>
    <i r="1">
      <x v="53"/>
    </i>
    <i r="1">
      <x v="55"/>
    </i>
    <i r="1">
      <x v="58"/>
    </i>
    <i r="1">
      <x v="84"/>
    </i>
    <i r="1">
      <x v="89"/>
    </i>
    <i r="1">
      <x v="90"/>
    </i>
    <i r="1">
      <x v="104"/>
    </i>
    <i r="1">
      <x v="105"/>
    </i>
    <i r="1">
      <x v="118"/>
    </i>
    <i r="1">
      <x v="121"/>
    </i>
    <i r="1">
      <x v="127"/>
    </i>
    <i r="1">
      <x v="134"/>
    </i>
    <i r="1">
      <x v="141"/>
    </i>
    <i r="1">
      <x v="182"/>
    </i>
    <i t="default">
      <x v="3"/>
    </i>
    <i>
      <x v="4"/>
      <x v="1"/>
    </i>
    <i r="1">
      <x v="17"/>
    </i>
    <i r="1">
      <x v="63"/>
    </i>
    <i r="1">
      <x v="71"/>
    </i>
    <i r="1">
      <x v="73"/>
    </i>
    <i r="1">
      <x v="75"/>
    </i>
    <i r="1">
      <x v="136"/>
    </i>
    <i r="1">
      <x v="166"/>
    </i>
    <i r="1">
      <x v="167"/>
    </i>
    <i t="default">
      <x v="4"/>
    </i>
    <i t="grand">
      <x/>
    </i>
  </rowItems>
  <colItems count="1">
    <i/>
  </colItems>
  <dataFields count="1">
    <dataField name="Count of UNIT NAME" fld="1" subtotal="count" baseField="0" baseItem="0"/>
  </dataField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928F5-9736-4595-9938-1A2F34F10DEE}" name="PivotTable10" cacheId="1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19:G26" firstHeaderRow="1" firstDataRow="2" firstDataCol="1"/>
  <pivotFields count="11">
    <pivotField axis="axisRow" compact="0" outline="0" showAll="0" defaultSubtotal="0">
      <items count="5">
        <item x="0"/>
        <item x="1"/>
        <item x="2"/>
        <item x="3"/>
        <item x="4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6">
        <item x="3"/>
        <item x="2"/>
        <item x="1"/>
        <item x="4"/>
        <item x="5"/>
        <item h="1" x="0"/>
      </items>
    </pivotField>
    <pivotField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NIT NAME" fld="1" subtotal="count" baseField="0" baseItem="0"/>
  </dataFields>
  <formats count="64">
    <format dxfId="1220">
      <pivotArea outline="0" collapsedLevelsAreSubtotals="1" fieldPosition="0"/>
    </format>
    <format dxfId="1219">
      <pivotArea field="0" type="button" dataOnly="0" labelOnly="1" outline="0" axis="axisRow" fieldPosition="0"/>
    </format>
    <format dxfId="1218">
      <pivotArea dataOnly="0" labelOnly="1" outline="0" fieldPosition="0">
        <references count="1">
          <reference field="0" count="0"/>
        </references>
      </pivotArea>
    </format>
    <format dxfId="1217">
      <pivotArea dataOnly="0" labelOnly="1" outline="0" fieldPosition="0">
        <references count="1">
          <reference field="9" count="0"/>
        </references>
      </pivotArea>
    </format>
    <format dxfId="1216">
      <pivotArea dataOnly="0" labelOnly="1" grandCol="1" outline="0" fieldPosition="0"/>
    </format>
    <format dxfId="1215">
      <pivotArea type="all" dataOnly="0" outline="0" fieldPosition="0"/>
    </format>
    <format dxfId="1214">
      <pivotArea outline="0" collapsedLevelsAreSubtotals="1" fieldPosition="0"/>
    </format>
    <format dxfId="1213">
      <pivotArea type="origin" dataOnly="0" labelOnly="1" outline="0" fieldPosition="0"/>
    </format>
    <format dxfId="1212">
      <pivotArea field="9" type="button" dataOnly="0" labelOnly="1" outline="0" axis="axisCol" fieldPosition="0"/>
    </format>
    <format dxfId="1211">
      <pivotArea type="topRight" dataOnly="0" labelOnly="1" outline="0" fieldPosition="0"/>
    </format>
    <format dxfId="1210">
      <pivotArea field="0" type="button" dataOnly="0" labelOnly="1" outline="0" axis="axisRow" fieldPosition="0"/>
    </format>
    <format dxfId="1209">
      <pivotArea dataOnly="0" labelOnly="1" outline="0" fieldPosition="0">
        <references count="1">
          <reference field="0" count="0"/>
        </references>
      </pivotArea>
    </format>
    <format dxfId="1208">
      <pivotArea dataOnly="0" labelOnly="1" outline="0" fieldPosition="0">
        <references count="1">
          <reference field="9" count="0"/>
        </references>
      </pivotArea>
    </format>
    <format dxfId="1207">
      <pivotArea dataOnly="0" labelOnly="1" grandCol="1" outline="0" fieldPosition="0"/>
    </format>
    <format dxfId="1206">
      <pivotArea type="all" dataOnly="0" outline="0" fieldPosition="0"/>
    </format>
    <format dxfId="1205">
      <pivotArea outline="0" collapsedLevelsAreSubtotals="1" fieldPosition="0"/>
    </format>
    <format dxfId="1204">
      <pivotArea type="origin" dataOnly="0" labelOnly="1" outline="0" fieldPosition="0"/>
    </format>
    <format dxfId="1203">
      <pivotArea field="9" type="button" dataOnly="0" labelOnly="1" outline="0" axis="axisCol" fieldPosition="0"/>
    </format>
    <format dxfId="1202">
      <pivotArea type="topRight" dataOnly="0" labelOnly="1" outline="0" fieldPosition="0"/>
    </format>
    <format dxfId="1201">
      <pivotArea field="0" type="button" dataOnly="0" labelOnly="1" outline="0" axis="axisRow" fieldPosition="0"/>
    </format>
    <format dxfId="1200">
      <pivotArea dataOnly="0" labelOnly="1" outline="0" fieldPosition="0">
        <references count="1">
          <reference field="0" count="0"/>
        </references>
      </pivotArea>
    </format>
    <format dxfId="1199">
      <pivotArea dataOnly="0" labelOnly="1" outline="0" fieldPosition="0">
        <references count="1">
          <reference field="9" count="0"/>
        </references>
      </pivotArea>
    </format>
    <format dxfId="1198">
      <pivotArea dataOnly="0" labelOnly="1" grandCol="1" outline="0" fieldPosition="0"/>
    </format>
    <format dxfId="1197">
      <pivotArea type="all" dataOnly="0" outline="0" fieldPosition="0"/>
    </format>
    <format dxfId="1196">
      <pivotArea outline="0" collapsedLevelsAreSubtotals="1" fieldPosition="0"/>
    </format>
    <format dxfId="1195">
      <pivotArea type="origin" dataOnly="0" labelOnly="1" outline="0" fieldPosition="0"/>
    </format>
    <format dxfId="1194">
      <pivotArea field="9" type="button" dataOnly="0" labelOnly="1" outline="0" axis="axisCol" fieldPosition="0"/>
    </format>
    <format dxfId="1193">
      <pivotArea type="topRight" dataOnly="0" labelOnly="1" outline="0" fieldPosition="0"/>
    </format>
    <format dxfId="1192">
      <pivotArea field="0" type="button" dataOnly="0" labelOnly="1" outline="0" axis="axisRow" fieldPosition="0"/>
    </format>
    <format dxfId="1191">
      <pivotArea dataOnly="0" labelOnly="1" outline="0" fieldPosition="0">
        <references count="1">
          <reference field="0" count="0"/>
        </references>
      </pivotArea>
    </format>
    <format dxfId="1190">
      <pivotArea dataOnly="0" labelOnly="1" outline="0" fieldPosition="0">
        <references count="1">
          <reference field="9" count="0"/>
        </references>
      </pivotArea>
    </format>
    <format dxfId="1189">
      <pivotArea dataOnly="0" labelOnly="1" grandCol="1" outline="0" fieldPosition="0"/>
    </format>
    <format dxfId="1188">
      <pivotArea type="all" dataOnly="0" outline="0" fieldPosition="0"/>
    </format>
    <format dxfId="1187">
      <pivotArea outline="0" collapsedLevelsAreSubtotals="1" fieldPosition="0"/>
    </format>
    <format dxfId="1186">
      <pivotArea type="origin" dataOnly="0" labelOnly="1" outline="0" fieldPosition="0"/>
    </format>
    <format dxfId="1185">
      <pivotArea field="9" type="button" dataOnly="0" labelOnly="1" outline="0" axis="axisCol" fieldPosition="0"/>
    </format>
    <format dxfId="1184">
      <pivotArea type="topRight" dataOnly="0" labelOnly="1" outline="0" fieldPosition="0"/>
    </format>
    <format dxfId="1183">
      <pivotArea field="0" type="button" dataOnly="0" labelOnly="1" outline="0" axis="axisRow" fieldPosition="0"/>
    </format>
    <format dxfId="1182">
      <pivotArea dataOnly="0" labelOnly="1" outline="0" fieldPosition="0">
        <references count="1">
          <reference field="0" count="0"/>
        </references>
      </pivotArea>
    </format>
    <format dxfId="1181">
      <pivotArea dataOnly="0" labelOnly="1" outline="0" fieldPosition="0">
        <references count="1">
          <reference field="9" count="0"/>
        </references>
      </pivotArea>
    </format>
    <format dxfId="1180">
      <pivotArea dataOnly="0" labelOnly="1" grandCol="1" outline="0" fieldPosition="0"/>
    </format>
    <format dxfId="1179">
      <pivotArea grandCol="1" outline="0" collapsedLevelsAreSubtotals="1" fieldPosition="0"/>
    </format>
    <format dxfId="1178">
      <pivotArea type="all" dataOnly="0" outline="0" fieldPosition="0"/>
    </format>
    <format dxfId="1177">
      <pivotArea outline="0" collapsedLevelsAreSubtotals="1" fieldPosition="0"/>
    </format>
    <format dxfId="1176">
      <pivotArea type="origin" dataOnly="0" labelOnly="1" outline="0" fieldPosition="0"/>
    </format>
    <format dxfId="1175">
      <pivotArea field="9" type="button" dataOnly="0" labelOnly="1" outline="0" axis="axisCol" fieldPosition="0"/>
    </format>
    <format dxfId="1174">
      <pivotArea type="topRight" dataOnly="0" labelOnly="1" outline="0" fieldPosition="0"/>
    </format>
    <format dxfId="1173">
      <pivotArea field="0" type="button" dataOnly="0" labelOnly="1" outline="0" axis="axisRow" fieldPosition="0"/>
    </format>
    <format dxfId="1172">
      <pivotArea dataOnly="0" labelOnly="1" outline="0" fieldPosition="0">
        <references count="1">
          <reference field="0" count="0"/>
        </references>
      </pivotArea>
    </format>
    <format dxfId="1171">
      <pivotArea dataOnly="0" labelOnly="1" grandRow="1" outline="0" fieldPosition="0"/>
    </format>
    <format dxfId="1170">
      <pivotArea dataOnly="0" labelOnly="1" outline="0" fieldPosition="0">
        <references count="1">
          <reference field="9" count="0"/>
        </references>
      </pivotArea>
    </format>
    <format dxfId="1169">
      <pivotArea dataOnly="0" labelOnly="1" grandCol="1" outline="0" fieldPosition="0"/>
    </format>
    <format dxfId="1168">
      <pivotArea type="all" dataOnly="0" outline="0" fieldPosition="0"/>
    </format>
    <format dxfId="1167">
      <pivotArea outline="0" collapsedLevelsAreSubtotals="1" fieldPosition="0"/>
    </format>
    <format dxfId="1166">
      <pivotArea type="origin" dataOnly="0" labelOnly="1" outline="0" fieldPosition="0"/>
    </format>
    <format dxfId="1165">
      <pivotArea field="9" type="button" dataOnly="0" labelOnly="1" outline="0" axis="axisCol" fieldPosition="0"/>
    </format>
    <format dxfId="1164">
      <pivotArea type="topRight" dataOnly="0" labelOnly="1" outline="0" fieldPosition="0"/>
    </format>
    <format dxfId="1163">
      <pivotArea field="0" type="button" dataOnly="0" labelOnly="1" outline="0" axis="axisRow" fieldPosition="0"/>
    </format>
    <format dxfId="1162">
      <pivotArea dataOnly="0" labelOnly="1" outline="0" fieldPosition="0">
        <references count="1">
          <reference field="0" count="0"/>
        </references>
      </pivotArea>
    </format>
    <format dxfId="1161">
      <pivotArea dataOnly="0" labelOnly="1" grandRow="1" outline="0" fieldPosition="0"/>
    </format>
    <format dxfId="1160">
      <pivotArea dataOnly="0" labelOnly="1" outline="0" fieldPosition="0">
        <references count="1">
          <reference field="9" count="0"/>
        </references>
      </pivotArea>
    </format>
    <format dxfId="1159">
      <pivotArea dataOnly="0" labelOnly="1" grandCol="1" outline="0" fieldPosition="0"/>
    </format>
    <format dxfId="1158">
      <pivotArea type="origin" dataOnly="0" labelOnly="1" outline="0" fieldPosition="0"/>
    </format>
    <format dxfId="1157">
      <pivotArea field="9" type="button" dataOnly="0" labelOnly="1" outline="0" axis="axisCol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D7F8F-E33E-4644-A1E8-FB7093E1480D}" name="PivotTable8" cacheId="19" applyNumberFormats="0" applyBorderFormats="0" applyFontFormats="0" applyPatternFormats="0" applyAlignmentFormats="0" applyWidthHeightFormats="1" dataCaption="Values" tag="9e2adc7a-24f1-49a3-ae19-8b69599c912f" updatedVersion="8" minRefreshableVersion="3" subtotalHiddenItems="1" colGrandTotals="0" itemPrintTitles="1" createdVersion="5" indent="0" multipleFieldFilters="0" rowHeaderCaption="REGION">
  <location ref="A11:D17" firstHeaderRow="0" firstDataRow="1" firstDataCol="1"/>
  <pivotFields count="4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name="COUNT OF STUDENTS" fld="1" subtotal="count" baseField="0" baseItem="0"/>
    <dataField fld="3" subtotal="count" baseField="0" baseItem="0"/>
  </dataFields>
  <formats count="56">
    <format dxfId="1276">
      <pivotArea type="all" dataOnly="0" outline="0" fieldPosition="0"/>
    </format>
    <format dxfId="1275">
      <pivotArea outline="0" collapsedLevelsAreSubtotals="1" fieldPosition="0"/>
    </format>
    <format dxfId="1274">
      <pivotArea field="0" type="button" dataOnly="0" labelOnly="1" outline="0" axis="axisRow" fieldPosition="0"/>
    </format>
    <format dxfId="1273">
      <pivotArea dataOnly="0" labelOnly="1" fieldPosition="0">
        <references count="1">
          <reference field="0" count="0"/>
        </references>
      </pivotArea>
    </format>
    <format dxfId="1272">
      <pivotArea outline="0" collapsedLevelsAreSubtotals="1" fieldPosition="0"/>
    </format>
    <format dxfId="1271">
      <pivotArea type="all" dataOnly="0" outline="0" fieldPosition="0"/>
    </format>
    <format dxfId="1270">
      <pivotArea field="0" type="button" dataOnly="0" labelOnly="1" outline="0" axis="axisRow" fieldPosition="0"/>
    </format>
    <format dxfId="12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8">
      <pivotArea field="0" type="button" dataOnly="0" labelOnly="1" outline="0" axis="axisRow" fieldPosition="0"/>
    </format>
    <format dxfId="12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6">
      <pivotArea type="all" dataOnly="0" outline="0" fieldPosition="0"/>
    </format>
    <format dxfId="1265">
      <pivotArea outline="0" collapsedLevelsAreSubtotals="1" fieldPosition="0"/>
    </format>
    <format dxfId="1264">
      <pivotArea field="0" type="button" dataOnly="0" labelOnly="1" outline="0" axis="axisRow" fieldPosition="0"/>
    </format>
    <format dxfId="1263">
      <pivotArea dataOnly="0" labelOnly="1" fieldPosition="0">
        <references count="1">
          <reference field="0" count="0"/>
        </references>
      </pivotArea>
    </format>
    <format dxfId="1262">
      <pivotArea dataOnly="0" labelOnly="1" grandRow="1" outline="0" fieldPosition="0"/>
    </format>
    <format dxfId="12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0">
      <pivotArea field="0" type="button" dataOnly="0" labelOnly="1" outline="0" axis="axisRow" fieldPosition="0"/>
    </format>
    <format dxfId="12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58">
      <pivotArea field="0" type="button" dataOnly="0" labelOnly="1" outline="0" axis="axisRow" fieldPosition="0"/>
    </format>
    <format dxfId="12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56">
      <pivotArea type="all" dataOnly="0" outline="0" fieldPosition="0"/>
    </format>
    <format dxfId="1255">
      <pivotArea outline="0" collapsedLevelsAreSubtotals="1" fieldPosition="0"/>
    </format>
    <format dxfId="1254">
      <pivotArea field="0" type="button" dataOnly="0" labelOnly="1" outline="0" axis="axisRow" fieldPosition="0"/>
    </format>
    <format dxfId="1253">
      <pivotArea dataOnly="0" labelOnly="1" fieldPosition="0">
        <references count="1">
          <reference field="0" count="0"/>
        </references>
      </pivotArea>
    </format>
    <format dxfId="1252">
      <pivotArea dataOnly="0" labelOnly="1" grandRow="1" outline="0" fieldPosition="0"/>
    </format>
    <format dxfId="12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50">
      <pivotArea type="all" dataOnly="0" outline="0" fieldPosition="0"/>
    </format>
    <format dxfId="1249">
      <pivotArea outline="0" collapsedLevelsAreSubtotals="1" fieldPosition="0"/>
    </format>
    <format dxfId="1248">
      <pivotArea field="0" type="button" dataOnly="0" labelOnly="1" outline="0" axis="axisRow" fieldPosition="0"/>
    </format>
    <format dxfId="1247">
      <pivotArea dataOnly="0" labelOnly="1" fieldPosition="0">
        <references count="1">
          <reference field="0" count="0"/>
        </references>
      </pivotArea>
    </format>
    <format dxfId="1246">
      <pivotArea dataOnly="0" labelOnly="1" grandRow="1" outline="0" fieldPosition="0"/>
    </format>
    <format dxfId="12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44">
      <pivotArea type="all" dataOnly="0" outline="0" fieldPosition="0"/>
    </format>
    <format dxfId="1243">
      <pivotArea outline="0" collapsedLevelsAreSubtotals="1" fieldPosition="0"/>
    </format>
    <format dxfId="1242">
      <pivotArea field="0" type="button" dataOnly="0" labelOnly="1" outline="0" axis="axisRow" fieldPosition="0"/>
    </format>
    <format dxfId="1241">
      <pivotArea dataOnly="0" labelOnly="1" fieldPosition="0">
        <references count="1">
          <reference field="0" count="0"/>
        </references>
      </pivotArea>
    </format>
    <format dxfId="1240">
      <pivotArea dataOnly="0" labelOnly="1" grandRow="1" outline="0" fieldPosition="0"/>
    </format>
    <format dxfId="12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38">
      <pivotArea type="all" dataOnly="0" outline="0" fieldPosition="0"/>
    </format>
    <format dxfId="1237">
      <pivotArea outline="0" collapsedLevelsAreSubtotals="1" fieldPosition="0"/>
    </format>
    <format dxfId="1236">
      <pivotArea field="0" type="button" dataOnly="0" labelOnly="1" outline="0" axis="axisRow" fieldPosition="0"/>
    </format>
    <format dxfId="1235">
      <pivotArea dataOnly="0" labelOnly="1" fieldPosition="0">
        <references count="1">
          <reference field="0" count="0"/>
        </references>
      </pivotArea>
    </format>
    <format dxfId="1234">
      <pivotArea dataOnly="0" labelOnly="1" grandRow="1" outline="0" fieldPosition="0"/>
    </format>
    <format dxfId="12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32">
      <pivotArea type="all" dataOnly="0" outline="0" fieldPosition="0"/>
    </format>
    <format dxfId="1231">
      <pivotArea outline="0" collapsedLevelsAreSubtotals="1" fieldPosition="0"/>
    </format>
    <format dxfId="1230">
      <pivotArea field="0" type="button" dataOnly="0" labelOnly="1" outline="0" axis="axisRow" fieldPosition="0"/>
    </format>
    <format dxfId="1229">
      <pivotArea dataOnly="0" labelOnly="1" fieldPosition="0">
        <references count="1">
          <reference field="0" count="0"/>
        </references>
      </pivotArea>
    </format>
    <format dxfId="1228">
      <pivotArea dataOnly="0" labelOnly="1" grandRow="1" outline="0" fieldPosition="0"/>
    </format>
    <format dxfId="12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26">
      <pivotArea type="all" dataOnly="0" outline="0" fieldPosition="0"/>
    </format>
    <format dxfId="1225">
      <pivotArea outline="0" collapsedLevelsAreSubtotals="1" fieldPosition="0"/>
    </format>
    <format dxfId="1224">
      <pivotArea field="0" type="button" dataOnly="0" labelOnly="1" outline="0" axis="axisRow" fieldPosition="0"/>
    </format>
    <format dxfId="1223">
      <pivotArea dataOnly="0" labelOnly="1" fieldPosition="0">
        <references count="1">
          <reference field="0" count="0"/>
        </references>
      </pivotArea>
    </format>
    <format dxfId="1222">
      <pivotArea dataOnly="0" labelOnly="1" grandRow="1" outline="0" fieldPosition="0"/>
    </format>
    <format dxfId="12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OUNT OF STUDENT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1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59FF8-9DD9-4FD9-A043-270991EAF334}" name="PivotTable3" cacheId="22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A3:F192" firstHeaderRow="1" firstDataRow="1" firstDataCol="5"/>
  <pivotFields count="16">
    <pivotField compact="0" outline="0" showAll="0"/>
    <pivotField compact="0" outline="0" showAll="0"/>
    <pivotField compact="0" outline="0" showAll="0"/>
    <pivotField axis="axisRow" dataField="1" compact="0" outline="0" showAll="0" defaultSubtotal="0">
      <items count="186">
        <item x="104"/>
        <item x="0"/>
        <item x="15"/>
        <item x="121"/>
        <item x="16"/>
        <item x="133"/>
        <item x="110"/>
        <item x="54"/>
        <item x="119"/>
        <item x="174"/>
        <item x="21"/>
        <item x="163"/>
        <item x="11"/>
        <item x="78"/>
        <item x="86"/>
        <item x="10"/>
        <item x="181"/>
        <item x="38"/>
        <item x="117"/>
        <item x="2"/>
        <item x="134"/>
        <item x="48"/>
        <item x="68"/>
        <item x="146"/>
        <item x="142"/>
        <item x="20"/>
        <item x="175"/>
        <item x="25"/>
        <item x="127"/>
        <item x="115"/>
        <item x="159"/>
        <item x="182"/>
        <item x="106"/>
        <item x="88"/>
        <item x="31"/>
        <item x="130"/>
        <item x="132"/>
        <item x="98"/>
        <item x="145"/>
        <item x="56"/>
        <item x="161"/>
        <item x="140"/>
        <item x="156"/>
        <item x="39"/>
        <item x="89"/>
        <item x="151"/>
        <item x="116"/>
        <item x="120"/>
        <item x="30"/>
        <item x="94"/>
        <item x="90"/>
        <item x="42"/>
        <item x="58"/>
        <item x="164"/>
        <item x="24"/>
        <item x="35"/>
        <item x="102"/>
        <item x="4"/>
        <item x="36"/>
        <item x="131"/>
        <item x="55"/>
        <item x="171"/>
        <item x="87"/>
        <item x="114"/>
        <item x="144"/>
        <item x="147"/>
        <item x="143"/>
        <item x="168"/>
        <item x="169"/>
        <item x="59"/>
        <item x="40"/>
        <item x="34"/>
        <item x="100"/>
        <item x="128"/>
        <item x="99"/>
        <item x="165"/>
        <item x="12"/>
        <item x="167"/>
        <item x="14"/>
        <item x="101"/>
        <item x="139"/>
        <item x="97"/>
        <item x="157"/>
        <item x="103"/>
        <item x="82"/>
        <item x="183"/>
        <item x="69"/>
        <item x="79"/>
        <item x="32"/>
        <item x="80"/>
        <item x="73"/>
        <item x="74"/>
        <item x="177"/>
        <item x="84"/>
        <item x="138"/>
        <item x="7"/>
        <item x="160"/>
        <item x="111"/>
        <item x="52"/>
        <item x="50"/>
        <item x="77"/>
        <item x="184"/>
        <item x="26"/>
        <item x="105"/>
        <item x="162"/>
        <item x="41"/>
        <item x="185"/>
        <item x="150"/>
        <item x="43"/>
        <item x="123"/>
        <item x="112"/>
        <item x="124"/>
        <item x="37"/>
        <item x="125"/>
        <item x="152"/>
        <item x="57"/>
        <item x="158"/>
        <item x="6"/>
        <item x="29"/>
        <item x="8"/>
        <item x="19"/>
        <item x="28"/>
        <item x="153"/>
        <item x="70"/>
        <item x="85"/>
        <item x="122"/>
        <item x="76"/>
        <item x="63"/>
        <item x="135"/>
        <item x="172"/>
        <item x="173"/>
        <item x="108"/>
        <item x="22"/>
        <item x="60"/>
        <item x="1"/>
        <item x="61"/>
        <item x="154"/>
        <item x="107"/>
        <item x="67"/>
        <item x="5"/>
        <item x="149"/>
        <item x="113"/>
        <item x="96"/>
        <item x="33"/>
        <item x="136"/>
        <item x="179"/>
        <item x="170"/>
        <item x="92"/>
        <item x="126"/>
        <item x="44"/>
        <item x="93"/>
        <item x="13"/>
        <item x="178"/>
        <item x="27"/>
        <item x="148"/>
        <item x="141"/>
        <item x="91"/>
        <item x="180"/>
        <item x="72"/>
        <item x="9"/>
        <item x="176"/>
        <item x="137"/>
        <item x="3"/>
        <item x="17"/>
        <item x="95"/>
        <item x="45"/>
        <item x="51"/>
        <item x="71"/>
        <item x="64"/>
        <item x="155"/>
        <item x="53"/>
        <item x="47"/>
        <item x="65"/>
        <item x="109"/>
        <item x="66"/>
        <item x="129"/>
        <item x="23"/>
        <item x="118"/>
        <item x="18"/>
        <item x="62"/>
        <item x="46"/>
        <item x="49"/>
        <item x="83"/>
        <item x="75"/>
        <item x="81"/>
        <item x="166"/>
      </items>
    </pivotField>
    <pivotField compact="0" outline="0" showAll="0"/>
    <pivotField axis="axisRow" compact="0" numFmtId="14" outline="0" showAll="0" defaultSubtotal="0">
      <items count="107">
        <item x="0"/>
        <item x="1"/>
        <item x="30"/>
        <item x="68"/>
        <item x="2"/>
        <item x="31"/>
        <item x="101"/>
        <item x="3"/>
        <item x="32"/>
        <item x="60"/>
        <item x="69"/>
        <item x="70"/>
        <item x="33"/>
        <item x="61"/>
        <item x="4"/>
        <item x="5"/>
        <item x="102"/>
        <item x="62"/>
        <item x="34"/>
        <item x="71"/>
        <item x="35"/>
        <item x="72"/>
        <item x="73"/>
        <item x="36"/>
        <item x="6"/>
        <item x="37"/>
        <item x="38"/>
        <item x="39"/>
        <item x="40"/>
        <item x="74"/>
        <item x="75"/>
        <item x="7"/>
        <item x="41"/>
        <item x="8"/>
        <item x="9"/>
        <item x="76"/>
        <item x="10"/>
        <item x="42"/>
        <item x="43"/>
        <item x="77"/>
        <item x="44"/>
        <item x="78"/>
        <item x="79"/>
        <item x="80"/>
        <item x="81"/>
        <item x="45"/>
        <item x="63"/>
        <item x="64"/>
        <item x="46"/>
        <item x="82"/>
        <item x="83"/>
        <item x="84"/>
        <item x="65"/>
        <item x="103"/>
        <item x="104"/>
        <item x="85"/>
        <item x="47"/>
        <item x="11"/>
        <item x="12"/>
        <item x="13"/>
        <item x="105"/>
        <item x="86"/>
        <item x="87"/>
        <item x="14"/>
        <item x="88"/>
        <item x="15"/>
        <item x="48"/>
        <item x="16"/>
        <item x="106"/>
        <item x="49"/>
        <item x="89"/>
        <item x="17"/>
        <item x="90"/>
        <item x="18"/>
        <item x="19"/>
        <item x="20"/>
        <item x="21"/>
        <item x="50"/>
        <item x="51"/>
        <item x="22"/>
        <item x="23"/>
        <item x="52"/>
        <item x="53"/>
        <item x="54"/>
        <item x="55"/>
        <item x="24"/>
        <item x="56"/>
        <item x="25"/>
        <item x="26"/>
        <item x="66"/>
        <item x="67"/>
        <item x="57"/>
        <item x="91"/>
        <item x="92"/>
        <item x="93"/>
        <item x="94"/>
        <item x="27"/>
        <item x="95"/>
        <item x="96"/>
        <item x="97"/>
        <item x="98"/>
        <item x="58"/>
        <item x="59"/>
        <item x="99"/>
        <item x="28"/>
        <item x="29"/>
        <item x="100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defaultSubtotal="0">
      <items count="44">
        <item x="24"/>
        <item x="31"/>
        <item x="42"/>
        <item x="23"/>
        <item x="41"/>
        <item x="22"/>
        <item x="21"/>
        <item x="30"/>
        <item x="20"/>
        <item x="19"/>
        <item x="29"/>
        <item x="18"/>
        <item x="17"/>
        <item x="40"/>
        <item x="16"/>
        <item x="15"/>
        <item x="14"/>
        <item x="13"/>
        <item x="12"/>
        <item x="11"/>
        <item x="10"/>
        <item x="39"/>
        <item x="33"/>
        <item x="28"/>
        <item x="27"/>
        <item x="38"/>
        <item x="9"/>
        <item x="8"/>
        <item x="7"/>
        <item x="37"/>
        <item x="26"/>
        <item x="6"/>
        <item x="25"/>
        <item x="32"/>
        <item x="5"/>
        <item x="4"/>
        <item x="36"/>
        <item x="35"/>
        <item x="3"/>
        <item x="43"/>
        <item x="2"/>
        <item x="34"/>
        <item x="1"/>
        <item x="0"/>
      </items>
    </pivotField>
    <pivotField compact="0" outline="0" showAll="0">
      <items count="4">
        <item x="2"/>
        <item x="1"/>
        <item x="0"/>
        <item t="default"/>
      </items>
    </pivotField>
    <pivotField axis="axisRow" compact="0" outline="0" showAll="0">
      <items count="6">
        <item x="1"/>
        <item x="3"/>
        <item x="0"/>
        <item x="4"/>
        <item x="2"/>
        <item t="default"/>
      </items>
    </pivotField>
    <pivotField compact="0" outline="0" showAll="0"/>
    <pivotField compact="0" outline="0" showAll="0"/>
    <pivotField name="Boolean" axis="axisRow" compact="0" outline="0" showAll="0">
      <items count="3">
        <item x="0"/>
        <item x="1"/>
        <item t="default"/>
      </items>
    </pivotField>
  </pivotFields>
  <rowFields count="5">
    <field x="15"/>
    <field x="3"/>
    <field x="5"/>
    <field x="10"/>
    <field x="12"/>
  </rowFields>
  <rowItems count="189">
    <i>
      <x/>
      <x/>
      <x v="19"/>
      <x v="32"/>
      <x v="1"/>
    </i>
    <i r="1">
      <x v="1"/>
      <x/>
      <x v="43"/>
      <x v="2"/>
    </i>
    <i r="1">
      <x v="2"/>
      <x v="58"/>
      <x v="19"/>
      <x v="4"/>
    </i>
    <i r="1">
      <x v="3"/>
      <x v="48"/>
      <x v="23"/>
      <x v="4"/>
    </i>
    <i r="1">
      <x v="4"/>
      <x v="59"/>
      <x v="18"/>
      <x v="4"/>
    </i>
    <i r="1">
      <x v="5"/>
      <x v="70"/>
      <x v="14"/>
      <x v="3"/>
    </i>
    <i r="1">
      <x v="6"/>
      <x v="31"/>
      <x v="28"/>
      <x v="4"/>
    </i>
    <i r="1">
      <x v="7"/>
      <x v="25"/>
      <x v="31"/>
      <x v="4"/>
    </i>
    <i r="1">
      <x v="8"/>
      <x v="44"/>
      <x v="25"/>
      <x v="4"/>
    </i>
    <i r="1">
      <x v="9"/>
      <x v="55"/>
      <x v="21"/>
      <x v="4"/>
    </i>
    <i r="1">
      <x v="10"/>
      <x v="71"/>
      <x v="14"/>
      <x v="4"/>
    </i>
    <i r="1">
      <x v="11"/>
      <x v="16"/>
      <x v="34"/>
      <x v="1"/>
    </i>
    <i r="1">
      <x v="12"/>
      <x v="34"/>
      <x v="27"/>
      <x v="3"/>
    </i>
    <i r="1">
      <x v="13"/>
      <x v="83"/>
      <x v="8"/>
      <x v="4"/>
    </i>
    <i r="1">
      <x v="14"/>
      <x v="9"/>
      <x v="38"/>
      <x v="3"/>
    </i>
    <i r="1">
      <x v="15"/>
      <x v="33"/>
      <x v="28"/>
      <x v="1"/>
    </i>
    <i r="1">
      <x v="16"/>
      <x v="88"/>
      <x v="5"/>
      <x v="3"/>
    </i>
    <i r="1">
      <x v="17"/>
      <x/>
      <x v="43"/>
      <x v="2"/>
    </i>
    <i r="1">
      <x v="18"/>
      <x v="42"/>
      <x v="25"/>
      <x v="4"/>
    </i>
    <i r="1">
      <x v="19"/>
      <x v="1"/>
      <x v="42"/>
      <x/>
    </i>
    <i r="1">
      <x v="20"/>
      <x v="72"/>
      <x v="13"/>
      <x v="4"/>
    </i>
    <i r="1">
      <x v="21"/>
      <x v="8"/>
      <x v="38"/>
      <x v="3"/>
    </i>
    <i r="1">
      <x v="22"/>
      <x v="67"/>
      <x v="15"/>
      <x v="3"/>
    </i>
    <i r="1">
      <x v="23"/>
      <x v="93"/>
      <x v="3"/>
      <x v="3"/>
    </i>
    <i r="1">
      <x v="24"/>
      <x v="82"/>
      <x v="8"/>
      <x v="3"/>
    </i>
    <i r="1">
      <x v="25"/>
      <x v="67"/>
      <x v="15"/>
      <x v="3"/>
    </i>
    <i r="1">
      <x v="26"/>
      <x v="55"/>
      <x v="21"/>
      <x v="1"/>
    </i>
    <i r="1">
      <x v="27"/>
      <x v="75"/>
      <x v="12"/>
      <x v="4"/>
    </i>
    <i r="1">
      <x v="29"/>
      <x v="40"/>
      <x v="26"/>
      <x v="1"/>
    </i>
    <i r="1">
      <x v="30"/>
      <x v="105"/>
      <x/>
      <x v="3"/>
    </i>
    <i r="1">
      <x v="31"/>
      <x v="88"/>
      <x v="5"/>
      <x v="4"/>
    </i>
    <i r="1">
      <x v="32"/>
      <x v="21"/>
      <x v="32"/>
      <x v="1"/>
    </i>
    <i r="1">
      <x v="33"/>
      <x v="17"/>
      <x v="33"/>
      <x v="1"/>
    </i>
    <i r="1">
      <x v="34"/>
      <x v="85"/>
      <x v="6"/>
      <x v="3"/>
    </i>
    <i r="1">
      <x v="35"/>
      <x v="64"/>
      <x v="16"/>
      <x v="4"/>
    </i>
    <i r="1">
      <x v="36"/>
      <x v="69"/>
      <x v="15"/>
      <x v="3"/>
    </i>
    <i r="1">
      <x v="37"/>
      <x v="90"/>
      <x v="5"/>
      <x v="3"/>
    </i>
    <i r="1">
      <x v="38"/>
      <x v="92"/>
      <x v="4"/>
      <x v="3"/>
    </i>
    <i r="1">
      <x v="39"/>
      <x v="27"/>
      <x v="31"/>
      <x v="1"/>
    </i>
    <i r="1">
      <x v="40"/>
      <x v="6"/>
      <x v="39"/>
      <x/>
    </i>
    <i r="1">
      <x v="41"/>
      <x v="79"/>
      <x v="9"/>
      <x v="4"/>
    </i>
    <i r="1">
      <x v="42"/>
      <x v="103"/>
      <x/>
      <x v="3"/>
    </i>
    <i r="1">
      <x v="43"/>
      <x/>
      <x v="43"/>
      <x v="1"/>
    </i>
    <i r="1">
      <x v="44"/>
      <x v="46"/>
      <x v="24"/>
      <x v="3"/>
    </i>
    <i r="1">
      <x v="45"/>
      <x v="98"/>
      <x v="2"/>
      <x v="3"/>
    </i>
    <i r="1">
      <x v="46"/>
      <x v="41"/>
      <x v="25"/>
      <x v="1"/>
    </i>
    <i r="1">
      <x v="47"/>
      <x v="46"/>
      <x v="24"/>
      <x v="4"/>
    </i>
    <i r="1">
      <x v="48"/>
      <x v="80"/>
      <x v="8"/>
      <x v="3"/>
    </i>
    <i r="1">
      <x v="49"/>
      <x v="81"/>
      <x v="8"/>
      <x v="3"/>
    </i>
    <i r="1">
      <x v="50"/>
      <x v="47"/>
      <x v="24"/>
      <x v="3"/>
    </i>
    <i r="1">
      <x v="51"/>
      <x v="2"/>
      <x v="42"/>
      <x/>
    </i>
    <i r="1">
      <x v="52"/>
      <x v="32"/>
      <x v="28"/>
      <x v="3"/>
    </i>
    <i r="1">
      <x v="53"/>
      <x v="18"/>
      <x v="32"/>
      <x/>
    </i>
    <i r="1">
      <x v="54"/>
      <x v="74"/>
      <x v="12"/>
      <x v="4"/>
    </i>
    <i r="1">
      <x v="55"/>
      <x v="96"/>
      <x v="3"/>
      <x v="4"/>
    </i>
    <i r="1">
      <x v="56"/>
      <x v="10"/>
      <x v="37"/>
      <x/>
    </i>
    <i r="1">
      <x v="57"/>
      <x v="7"/>
      <x v="38"/>
      <x v="4"/>
    </i>
    <i r="1">
      <x v="58"/>
      <x v="104"/>
      <x/>
      <x v="3"/>
    </i>
    <i r="1">
      <x v="59"/>
      <x v="67"/>
      <x v="15"/>
      <x v="4"/>
    </i>
    <i r="1">
      <x v="60"/>
      <x v="26"/>
      <x v="31"/>
      <x v="1"/>
    </i>
    <i r="1">
      <x v="61"/>
      <x v="53"/>
      <x v="22"/>
      <x v="2"/>
    </i>
    <i r="1">
      <x v="62"/>
      <x v="13"/>
      <x v="35"/>
      <x v="1"/>
    </i>
    <i r="1">
      <x v="63"/>
      <x v="39"/>
      <x v="26"/>
      <x v="4"/>
    </i>
    <i r="1">
      <x v="64"/>
      <x v="84"/>
      <x v="7"/>
      <x v="3"/>
    </i>
    <i r="1">
      <x v="65"/>
      <x v="94"/>
      <x v="3"/>
      <x v="3"/>
    </i>
    <i r="1">
      <x v="66"/>
      <x v="84"/>
      <x v="7"/>
      <x v="3"/>
    </i>
    <i r="1">
      <x v="67"/>
      <x v="42"/>
      <x v="25"/>
      <x v="4"/>
    </i>
    <i r="1">
      <x v="68"/>
      <x v="42"/>
      <x v="25"/>
      <x v="1"/>
    </i>
    <i r="1">
      <x v="69"/>
      <x v="32"/>
      <x v="28"/>
      <x v="3"/>
    </i>
    <i r="1">
      <x v="70"/>
      <x/>
      <x v="43"/>
      <x v="2"/>
    </i>
    <i r="1">
      <x v="71"/>
      <x v="88"/>
      <x v="5"/>
      <x v="3"/>
    </i>
    <i r="1">
      <x v="72"/>
      <x v="4"/>
      <x v="40"/>
      <x v="2"/>
    </i>
    <i r="1">
      <x v="73"/>
      <x v="61"/>
      <x v="17"/>
      <x v="4"/>
    </i>
    <i r="1">
      <x v="74"/>
      <x v="3"/>
      <x v="41"/>
      <x v="2"/>
    </i>
    <i r="1">
      <x v="75"/>
      <x v="26"/>
      <x v="31"/>
      <x v="1"/>
    </i>
    <i r="1">
      <x v="76"/>
      <x v="36"/>
      <x v="26"/>
      <x v="4"/>
    </i>
    <i r="1">
      <x v="77"/>
      <x v="37"/>
      <x v="26"/>
      <x v="4"/>
    </i>
    <i r="1">
      <x v="79"/>
      <x v="4"/>
      <x v="40"/>
      <x v="4"/>
    </i>
    <i r="1">
      <x v="80"/>
      <x v="79"/>
      <x v="9"/>
      <x v="3"/>
    </i>
    <i r="1">
      <x v="81"/>
      <x v="89"/>
      <x v="5"/>
      <x v="3"/>
    </i>
    <i r="1">
      <x v="82"/>
      <x v="103"/>
      <x/>
      <x v="4"/>
    </i>
    <i r="1">
      <x v="84"/>
      <x v="91"/>
      <x v="5"/>
      <x v="4"/>
    </i>
    <i r="1">
      <x v="85"/>
      <x v="88"/>
      <x v="5"/>
      <x v="3"/>
    </i>
    <i r="1">
      <x v="86"/>
      <x v="67"/>
      <x v="15"/>
      <x v="4"/>
    </i>
    <i r="1">
      <x v="87"/>
      <x v="84"/>
      <x v="7"/>
      <x v="3"/>
    </i>
    <i r="1">
      <x v="88"/>
      <x v="87"/>
      <x v="6"/>
      <x/>
    </i>
    <i r="1">
      <x v="89"/>
      <x v="86"/>
      <x v="6"/>
      <x/>
    </i>
    <i r="1">
      <x v="90"/>
      <x v="78"/>
      <x v="10"/>
      <x v="4"/>
    </i>
    <i r="1">
      <x v="91"/>
      <x v="81"/>
      <x v="8"/>
      <x v="4"/>
    </i>
    <i r="1">
      <x v="92"/>
      <x v="60"/>
      <x v="18"/>
      <x v="4"/>
    </i>
    <i r="1">
      <x v="93"/>
      <x v="102"/>
      <x/>
      <x v="3"/>
    </i>
    <i r="1">
      <x v="94"/>
      <x v="79"/>
      <x v="9"/>
      <x v="4"/>
    </i>
    <i r="1">
      <x v="95"/>
      <x v="24"/>
      <x v="31"/>
      <x v="4"/>
    </i>
    <i r="1">
      <x v="96"/>
      <x v="106"/>
      <x/>
      <x v="3"/>
    </i>
    <i r="1">
      <x v="97"/>
      <x v="32"/>
      <x v="28"/>
      <x v="1"/>
    </i>
    <i r="1">
      <x v="98"/>
      <x v="23"/>
      <x v="31"/>
      <x v="4"/>
    </i>
    <i r="1">
      <x v="99"/>
      <x v="18"/>
      <x v="32"/>
      <x v="3"/>
    </i>
    <i r="1">
      <x v="100"/>
      <x v="82"/>
      <x v="8"/>
      <x v="4"/>
    </i>
    <i r="1">
      <x v="101"/>
      <x v="88"/>
      <x v="5"/>
      <x v="3"/>
    </i>
    <i r="1">
      <x v="102"/>
      <x v="76"/>
      <x v="11"/>
      <x v="3"/>
    </i>
    <i r="1">
      <x v="103"/>
      <x v="19"/>
      <x v="32"/>
      <x/>
    </i>
    <i r="1">
      <x v="104"/>
      <x v="9"/>
      <x v="38"/>
      <x/>
    </i>
    <i r="1">
      <x v="105"/>
      <x/>
      <x v="43"/>
      <x v="4"/>
    </i>
    <i r="1">
      <x v="106"/>
      <x v="97"/>
      <x v="2"/>
      <x v="3"/>
    </i>
    <i r="1">
      <x v="107"/>
      <x v="97"/>
      <x v="2"/>
      <x v="3"/>
    </i>
    <i r="1">
      <x v="108"/>
      <x v="4"/>
      <x v="40"/>
      <x v="1"/>
    </i>
    <i r="1">
      <x v="109"/>
      <x v="50"/>
      <x v="22"/>
      <x v="4"/>
    </i>
    <i r="1">
      <x v="110"/>
      <x v="33"/>
      <x v="28"/>
      <x v="1"/>
    </i>
    <i r="1">
      <x v="111"/>
      <x v="51"/>
      <x v="22"/>
      <x v="4"/>
    </i>
    <i r="1">
      <x v="112"/>
      <x v="105"/>
      <x/>
      <x v="3"/>
    </i>
    <i r="1">
      <x v="113"/>
      <x v="55"/>
      <x v="21"/>
      <x v="4"/>
    </i>
    <i r="1">
      <x v="114"/>
      <x v="98"/>
      <x v="2"/>
      <x v="3"/>
    </i>
    <i r="1">
      <x v="115"/>
      <x v="28"/>
      <x v="30"/>
      <x v="4"/>
    </i>
    <i r="1">
      <x v="116"/>
      <x v="103"/>
      <x/>
      <x v="3"/>
    </i>
    <i r="1">
      <x v="117"/>
      <x v="15"/>
      <x v="34"/>
      <x/>
    </i>
    <i r="1">
      <x v="118"/>
      <x v="80"/>
      <x v="8"/>
      <x v="3"/>
    </i>
    <i r="1">
      <x v="119"/>
      <x v="24"/>
      <x v="31"/>
      <x v="1"/>
    </i>
    <i r="1">
      <x v="120"/>
      <x v="65"/>
      <x v="16"/>
      <x/>
    </i>
    <i r="1">
      <x v="121"/>
      <x v="79"/>
      <x v="9"/>
      <x v="3"/>
    </i>
    <i r="1">
      <x v="122"/>
      <x v="98"/>
      <x v="2"/>
      <x v="3"/>
    </i>
    <i r="1">
      <x v="123"/>
      <x v="69"/>
      <x v="15"/>
      <x v="4"/>
    </i>
    <i r="1">
      <x v="124"/>
      <x v="102"/>
      <x/>
      <x v="3"/>
    </i>
    <i r="1">
      <x v="125"/>
      <x v="49"/>
      <x v="23"/>
      <x/>
    </i>
    <i r="1">
      <x v="126"/>
      <x v="81"/>
      <x v="8"/>
      <x v="4"/>
    </i>
    <i r="1">
      <x v="127"/>
      <x v="40"/>
      <x v="26"/>
      <x v="4"/>
    </i>
    <i r="1">
      <x v="128"/>
      <x v="75"/>
      <x v="12"/>
      <x v="3"/>
    </i>
    <i r="1">
      <x v="129"/>
      <x v="53"/>
      <x v="22"/>
      <x v="4"/>
    </i>
    <i r="1">
      <x v="130"/>
      <x v="54"/>
      <x v="21"/>
      <x v="4"/>
    </i>
    <i r="1">
      <x v="131"/>
      <x v="29"/>
      <x v="30"/>
      <x v="1"/>
    </i>
    <i r="1">
      <x v="132"/>
      <x v="71"/>
      <x v="14"/>
      <x/>
    </i>
    <i r="1">
      <x v="133"/>
      <x v="34"/>
      <x v="27"/>
      <x v="3"/>
    </i>
    <i r="1">
      <x v="134"/>
      <x/>
      <x v="43"/>
      <x v="2"/>
    </i>
    <i r="1">
      <x v="135"/>
      <x v="37"/>
      <x v="26"/>
      <x v="3"/>
    </i>
    <i r="1">
      <x v="136"/>
      <x v="99"/>
      <x v="2"/>
      <x v="3"/>
    </i>
    <i r="1">
      <x v="137"/>
      <x v="22"/>
      <x v="31"/>
      <x v="1"/>
    </i>
    <i r="1">
      <x v="138"/>
      <x v="66"/>
      <x v="15"/>
      <x v="4"/>
    </i>
    <i r="1">
      <x v="139"/>
      <x v="14"/>
      <x v="35"/>
      <x/>
    </i>
    <i r="1">
      <x v="140"/>
      <x v="97"/>
      <x v="2"/>
      <x v="3"/>
    </i>
    <i r="1">
      <x v="141"/>
      <x v="35"/>
      <x v="27"/>
      <x v="1"/>
    </i>
    <i r="1">
      <x v="142"/>
      <x v="82"/>
      <x v="8"/>
      <x v="3"/>
    </i>
    <i r="1">
      <x v="143"/>
      <x v="88"/>
      <x v="5"/>
      <x v="3"/>
    </i>
    <i r="1">
      <x v="144"/>
      <x v="75"/>
      <x v="12"/>
      <x v="3"/>
    </i>
    <i r="1">
      <x v="145"/>
      <x v="80"/>
      <x v="8"/>
      <x v="3"/>
    </i>
    <i r="1">
      <x v="146"/>
      <x v="50"/>
      <x v="22"/>
      <x v="4"/>
    </i>
    <i r="1">
      <x v="147"/>
      <x v="52"/>
      <x v="22"/>
      <x v="3"/>
    </i>
    <i r="1">
      <x v="148"/>
      <x v="55"/>
      <x v="21"/>
      <x v="3"/>
    </i>
    <i r="1">
      <x v="149"/>
      <x v="4"/>
      <x v="40"/>
      <x v="4"/>
    </i>
    <i r="1">
      <x v="150"/>
      <x v="66"/>
      <x v="15"/>
      <x v="3"/>
    </i>
    <i r="1">
      <x v="151"/>
      <x v="36"/>
      <x v="26"/>
      <x v="3"/>
    </i>
    <i r="1">
      <x v="152"/>
      <x v="68"/>
      <x v="15"/>
      <x v="4"/>
    </i>
    <i r="1">
      <x v="153"/>
      <x v="79"/>
      <x v="9"/>
      <x v="3"/>
    </i>
    <i r="1">
      <x v="154"/>
      <x v="95"/>
      <x v="3"/>
      <x v="3"/>
    </i>
    <i r="1">
      <x v="155"/>
      <x v="80"/>
      <x v="8"/>
      <x v="4"/>
    </i>
    <i r="1">
      <x v="156"/>
      <x v="48"/>
      <x v="23"/>
      <x v="4"/>
    </i>
    <i r="1">
      <x v="157"/>
      <x v="80"/>
      <x v="8"/>
      <x v="3"/>
    </i>
    <i r="1">
      <x v="158"/>
      <x v="77"/>
      <x v="10"/>
      <x v="3"/>
    </i>
    <i r="1">
      <x v="159"/>
      <x v="31"/>
      <x v="28"/>
      <x v="3"/>
    </i>
    <i r="1">
      <x v="161"/>
      <x v="75"/>
      <x v="12"/>
      <x v="3"/>
    </i>
    <i r="1">
      <x v="162"/>
      <x v="4"/>
      <x v="40"/>
      <x v="2"/>
    </i>
    <i r="1">
      <x v="163"/>
      <x v="63"/>
      <x v="17"/>
      <x v="2"/>
    </i>
    <i r="1">
      <x v="164"/>
      <x v="81"/>
      <x v="8"/>
      <x v="3"/>
    </i>
    <i r="1">
      <x v="165"/>
      <x v="4"/>
      <x v="40"/>
      <x v="4"/>
    </i>
    <i r="1">
      <x v="166"/>
      <x v="20"/>
      <x v="32"/>
      <x v="3"/>
    </i>
    <i r="1">
      <x v="167"/>
      <x v="75"/>
      <x v="12"/>
      <x v="1"/>
    </i>
    <i r="1">
      <x v="168"/>
      <x v="45"/>
      <x v="24"/>
      <x v="4"/>
    </i>
    <i r="1">
      <x v="169"/>
      <x v="100"/>
      <x v="1"/>
      <x v="3"/>
    </i>
    <i r="1">
      <x v="170"/>
      <x v="23"/>
      <x v="31"/>
      <x v="1"/>
    </i>
    <i r="1">
      <x v="171"/>
      <x v="5"/>
      <x v="40"/>
      <x v="1"/>
    </i>
    <i r="1">
      <x v="172"/>
      <x v="48"/>
      <x v="23"/>
      <x v="3"/>
    </i>
    <i r="1">
      <x v="173"/>
      <x v="30"/>
      <x v="29"/>
      <x v="1"/>
    </i>
    <i r="1">
      <x v="175"/>
      <x v="62"/>
      <x v="17"/>
      <x v="4"/>
    </i>
    <i r="1">
      <x v="176"/>
      <x v="73"/>
      <x v="12"/>
      <x v="4"/>
    </i>
    <i r="1">
      <x v="177"/>
      <x v="43"/>
      <x v="25"/>
      <x v="4"/>
    </i>
    <i r="1">
      <x v="178"/>
      <x v="63"/>
      <x v="17"/>
      <x/>
    </i>
    <i r="1">
      <x v="179"/>
      <x v="38"/>
      <x v="26"/>
      <x v="3"/>
    </i>
    <i r="1">
      <x v="180"/>
      <x v="4"/>
      <x v="40"/>
      <x v="1"/>
    </i>
    <i r="1">
      <x v="181"/>
      <x v="12"/>
      <x v="35"/>
      <x v="1"/>
    </i>
    <i r="1">
      <x v="182"/>
      <x v="101"/>
      <x v="1"/>
      <x v="3"/>
    </i>
    <i r="1">
      <x v="183"/>
      <x v="81"/>
      <x v="8"/>
      <x v="3"/>
    </i>
    <i r="1">
      <x v="184"/>
      <x v="86"/>
      <x v="6"/>
      <x v="4"/>
    </i>
    <i r="1">
      <x v="185"/>
      <x v="36"/>
      <x v="26"/>
      <x v="3"/>
    </i>
    <i t="default">
      <x/>
    </i>
    <i>
      <x v="1"/>
      <x v="28"/>
      <x v="56"/>
      <x v="20"/>
      <x v="4"/>
    </i>
    <i r="1">
      <x v="78"/>
      <x v="57"/>
      <x v="20"/>
      <x v="4"/>
    </i>
    <i r="1">
      <x v="83"/>
      <x v="11"/>
      <x v="36"/>
      <x/>
    </i>
    <i r="1">
      <x v="160"/>
      <x v="56"/>
      <x v="20"/>
      <x v="4"/>
    </i>
    <i r="1">
      <x v="174"/>
      <x v="56"/>
      <x v="20"/>
      <x v="4"/>
    </i>
    <i t="default">
      <x v="1"/>
    </i>
    <i t="grand">
      <x/>
    </i>
  </rowItems>
  <colItems count="1">
    <i/>
  </colItems>
  <dataFields count="1">
    <dataField name="Count" fld="3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C44F6-4FE0-4EEE-A448-4AF574C7BC71}" name="PivotTable2" cacheId="21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A3:F193" firstHeaderRow="1" firstDataRow="1" firstDataCol="5"/>
  <pivotFields count="14">
    <pivotField compact="0" outline="0" showAll="0" defaultSubtotal="0"/>
    <pivotField compact="0" outline="0" showAll="0" defaultSubtotal="0"/>
    <pivotField compact="0" outline="0" showAll="0" defaultSubtotal="0"/>
    <pivotField axis="axisRow" dataField="1" compact="0" outline="0" showAll="0" defaultSubtotal="0">
      <items count="186">
        <item x="104"/>
        <item x="0"/>
        <item x="15"/>
        <item x="121"/>
        <item x="16"/>
        <item x="133"/>
        <item x="110"/>
        <item x="54"/>
        <item x="119"/>
        <item x="174"/>
        <item x="21"/>
        <item x="163"/>
        <item x="11"/>
        <item x="78"/>
        <item x="86"/>
        <item x="10"/>
        <item x="181"/>
        <item x="38"/>
        <item x="117"/>
        <item x="2"/>
        <item x="134"/>
        <item x="48"/>
        <item x="68"/>
        <item x="146"/>
        <item x="142"/>
        <item x="20"/>
        <item x="175"/>
        <item x="25"/>
        <item x="127"/>
        <item x="115"/>
        <item x="159"/>
        <item x="182"/>
        <item x="106"/>
        <item x="88"/>
        <item x="31"/>
        <item x="130"/>
        <item x="132"/>
        <item x="98"/>
        <item x="145"/>
        <item x="56"/>
        <item x="161"/>
        <item x="140"/>
        <item x="156"/>
        <item x="39"/>
        <item x="89"/>
        <item x="151"/>
        <item x="116"/>
        <item x="120"/>
        <item x="30"/>
        <item x="94"/>
        <item x="90"/>
        <item x="42"/>
        <item x="58"/>
        <item x="164"/>
        <item x="24"/>
        <item x="35"/>
        <item x="102"/>
        <item x="4"/>
        <item x="36"/>
        <item x="131"/>
        <item x="55"/>
        <item x="171"/>
        <item x="87"/>
        <item x="114"/>
        <item x="144"/>
        <item x="147"/>
        <item x="143"/>
        <item x="168"/>
        <item x="169"/>
        <item x="59"/>
        <item x="40"/>
        <item x="34"/>
        <item x="100"/>
        <item x="128"/>
        <item x="99"/>
        <item x="165"/>
        <item x="12"/>
        <item x="167"/>
        <item x="14"/>
        <item x="101"/>
        <item x="139"/>
        <item x="97"/>
        <item x="157"/>
        <item x="103"/>
        <item x="82"/>
        <item x="183"/>
        <item x="69"/>
        <item x="79"/>
        <item x="32"/>
        <item x="80"/>
        <item x="73"/>
        <item x="74"/>
        <item x="177"/>
        <item x="84"/>
        <item x="138"/>
        <item x="7"/>
        <item x="160"/>
        <item x="111"/>
        <item x="52"/>
        <item x="50"/>
        <item x="77"/>
        <item x="184"/>
        <item x="26"/>
        <item x="105"/>
        <item x="162"/>
        <item x="41"/>
        <item x="185"/>
        <item x="150"/>
        <item x="43"/>
        <item x="123"/>
        <item x="112"/>
        <item x="124"/>
        <item x="37"/>
        <item x="125"/>
        <item x="152"/>
        <item x="57"/>
        <item x="158"/>
        <item x="6"/>
        <item x="29"/>
        <item x="8"/>
        <item x="19"/>
        <item x="28"/>
        <item x="153"/>
        <item x="70"/>
        <item x="85"/>
        <item x="122"/>
        <item x="76"/>
        <item x="63"/>
        <item x="135"/>
        <item x="172"/>
        <item x="173"/>
        <item x="108"/>
        <item x="22"/>
        <item x="60"/>
        <item x="1"/>
        <item x="61"/>
        <item x="154"/>
        <item x="107"/>
        <item x="67"/>
        <item x="5"/>
        <item x="149"/>
        <item x="113"/>
        <item x="96"/>
        <item x="33"/>
        <item x="136"/>
        <item x="179"/>
        <item x="170"/>
        <item x="92"/>
        <item x="126"/>
        <item x="44"/>
        <item x="93"/>
        <item x="13"/>
        <item x="178"/>
        <item x="27"/>
        <item x="148"/>
        <item x="141"/>
        <item x="91"/>
        <item x="180"/>
        <item x="72"/>
        <item x="9"/>
        <item x="176"/>
        <item x="137"/>
        <item x="3"/>
        <item x="17"/>
        <item x="95"/>
        <item x="45"/>
        <item x="51"/>
        <item x="71"/>
        <item x="64"/>
        <item x="155"/>
        <item x="53"/>
        <item x="47"/>
        <item x="65"/>
        <item x="109"/>
        <item x="66"/>
        <item x="129"/>
        <item x="23"/>
        <item x="118"/>
        <item x="18"/>
        <item x="62"/>
        <item x="46"/>
        <item x="49"/>
        <item x="83"/>
        <item x="75"/>
        <item x="81"/>
        <item x="166"/>
      </items>
    </pivotField>
    <pivotField compact="0" outline="0" showAll="0" defaultSubtotal="0"/>
    <pivotField axis="axisRow" compact="0" numFmtId="14" outline="0" showAll="0" defaultSubtotal="0">
      <items count="107">
        <item x="0"/>
        <item x="1"/>
        <item x="30"/>
        <item x="68"/>
        <item x="2"/>
        <item x="31"/>
        <item x="101"/>
        <item x="3"/>
        <item x="32"/>
        <item x="60"/>
        <item x="69"/>
        <item x="70"/>
        <item x="33"/>
        <item x="61"/>
        <item x="4"/>
        <item x="5"/>
        <item x="102"/>
        <item x="62"/>
        <item x="34"/>
        <item x="71"/>
        <item x="35"/>
        <item x="72"/>
        <item x="73"/>
        <item x="36"/>
        <item x="6"/>
        <item x="37"/>
        <item x="38"/>
        <item x="39"/>
        <item x="40"/>
        <item x="74"/>
        <item x="75"/>
        <item x="7"/>
        <item x="41"/>
        <item x="8"/>
        <item x="9"/>
        <item x="76"/>
        <item x="10"/>
        <item x="42"/>
        <item x="43"/>
        <item x="77"/>
        <item x="44"/>
        <item x="78"/>
        <item x="79"/>
        <item x="80"/>
        <item x="81"/>
        <item x="45"/>
        <item x="63"/>
        <item x="64"/>
        <item x="46"/>
        <item x="82"/>
        <item x="83"/>
        <item x="84"/>
        <item x="65"/>
        <item x="103"/>
        <item x="104"/>
        <item x="85"/>
        <item x="47"/>
        <item x="11"/>
        <item x="12"/>
        <item x="13"/>
        <item x="105"/>
        <item x="86"/>
        <item x="87"/>
        <item x="14"/>
        <item x="88"/>
        <item x="15"/>
        <item x="48"/>
        <item x="16"/>
        <item x="106"/>
        <item x="49"/>
        <item x="89"/>
        <item x="17"/>
        <item x="90"/>
        <item x="18"/>
        <item x="19"/>
        <item x="20"/>
        <item x="21"/>
        <item x="50"/>
        <item x="51"/>
        <item x="22"/>
        <item x="23"/>
        <item x="52"/>
        <item x="53"/>
        <item x="54"/>
        <item x="55"/>
        <item x="24"/>
        <item x="56"/>
        <item x="25"/>
        <item x="26"/>
        <item x="66"/>
        <item x="67"/>
        <item x="57"/>
        <item x="91"/>
        <item x="92"/>
        <item x="93"/>
        <item x="94"/>
        <item x="27"/>
        <item x="95"/>
        <item x="96"/>
        <item x="97"/>
        <item x="98"/>
        <item x="58"/>
        <item x="59"/>
        <item x="99"/>
        <item x="28"/>
        <item x="29"/>
        <item x="100"/>
      </items>
    </pivotField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4">
        <item x="24"/>
        <item x="31"/>
        <item x="42"/>
        <item x="23"/>
        <item x="41"/>
        <item x="22"/>
        <item x="21"/>
        <item x="30"/>
        <item x="20"/>
        <item x="19"/>
        <item x="29"/>
        <item x="18"/>
        <item x="17"/>
        <item x="40"/>
        <item x="16"/>
        <item x="15"/>
        <item x="14"/>
        <item x="13"/>
        <item x="12"/>
        <item x="11"/>
        <item x="10"/>
        <item x="39"/>
        <item x="33"/>
        <item x="28"/>
        <item x="27"/>
        <item x="38"/>
        <item x="9"/>
        <item x="8"/>
        <item x="7"/>
        <item x="37"/>
        <item x="26"/>
        <item x="6"/>
        <item x="25"/>
        <item x="32"/>
        <item x="5"/>
        <item x="4"/>
        <item x="36"/>
        <item x="35"/>
        <item x="3"/>
        <item x="43"/>
        <item x="2"/>
        <item x="34"/>
        <item x="1"/>
        <item x="0"/>
      </items>
    </pivotField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 defaultSubtotal="0">
      <items count="5">
        <item x="1"/>
        <item x="3"/>
        <item x="0"/>
        <item x="4"/>
        <item x="2"/>
      </items>
    </pivotField>
    <pivotField compact="0" outline="0" showAll="0" defaultSubtotal="0"/>
  </pivotFields>
  <rowFields count="5">
    <field x="11"/>
    <field x="3"/>
    <field x="5"/>
    <field x="10"/>
    <field x="12"/>
  </rowFields>
  <rowItems count="190">
    <i>
      <x/>
      <x v="2"/>
      <x v="58"/>
      <x v="19"/>
      <x v="4"/>
    </i>
    <i r="1">
      <x v="4"/>
      <x v="59"/>
      <x v="18"/>
      <x v="4"/>
    </i>
    <i r="1">
      <x v="5"/>
      <x v="70"/>
      <x v="14"/>
      <x v="3"/>
    </i>
    <i r="1">
      <x v="10"/>
      <x v="71"/>
      <x v="14"/>
      <x v="4"/>
    </i>
    <i r="1">
      <x v="13"/>
      <x v="83"/>
      <x v="8"/>
      <x v="4"/>
    </i>
    <i r="1">
      <x v="16"/>
      <x v="88"/>
      <x v="5"/>
      <x v="3"/>
    </i>
    <i r="1">
      <x v="20"/>
      <x v="72"/>
      <x v="13"/>
      <x v="4"/>
    </i>
    <i r="1">
      <x v="22"/>
      <x v="67"/>
      <x v="15"/>
      <x v="3"/>
    </i>
    <i r="1">
      <x v="23"/>
      <x v="93"/>
      <x v="3"/>
      <x v="3"/>
    </i>
    <i r="1">
      <x v="24"/>
      <x v="82"/>
      <x v="8"/>
      <x v="3"/>
    </i>
    <i r="1">
      <x v="25"/>
      <x v="67"/>
      <x v="15"/>
      <x v="3"/>
    </i>
    <i r="1">
      <x v="27"/>
      <x v="75"/>
      <x v="12"/>
      <x v="4"/>
    </i>
    <i r="1">
      <x v="28"/>
      <x v="56"/>
      <x v="20"/>
      <x v="4"/>
    </i>
    <i r="1">
      <x v="30"/>
      <x v="105"/>
      <x/>
      <x v="3"/>
    </i>
    <i r="1">
      <x v="31"/>
      <x v="88"/>
      <x v="5"/>
      <x v="4"/>
    </i>
    <i r="1">
      <x v="34"/>
      <x v="85"/>
      <x v="6"/>
      <x v="3"/>
    </i>
    <i r="1">
      <x v="35"/>
      <x v="64"/>
      <x v="16"/>
      <x v="4"/>
    </i>
    <i r="1">
      <x v="36"/>
      <x v="69"/>
      <x v="15"/>
      <x v="3"/>
    </i>
    <i r="1">
      <x v="37"/>
      <x v="90"/>
      <x v="5"/>
      <x v="3"/>
    </i>
    <i r="1">
      <x v="38"/>
      <x v="92"/>
      <x v="4"/>
      <x v="3"/>
    </i>
    <i r="1">
      <x v="41"/>
      <x v="79"/>
      <x v="9"/>
      <x v="4"/>
    </i>
    <i r="1">
      <x v="42"/>
      <x v="103"/>
      <x/>
      <x v="3"/>
    </i>
    <i r="1">
      <x v="45"/>
      <x v="98"/>
      <x v="2"/>
      <x v="3"/>
    </i>
    <i r="1">
      <x v="48"/>
      <x v="80"/>
      <x v="8"/>
      <x v="3"/>
    </i>
    <i r="1">
      <x v="49"/>
      <x v="81"/>
      <x v="8"/>
      <x v="3"/>
    </i>
    <i r="1">
      <x v="54"/>
      <x v="74"/>
      <x v="12"/>
      <x v="4"/>
    </i>
    <i r="1">
      <x v="55"/>
      <x v="96"/>
      <x v="3"/>
      <x v="4"/>
    </i>
    <i r="1">
      <x v="58"/>
      <x v="104"/>
      <x/>
      <x v="3"/>
    </i>
    <i r="1">
      <x v="59"/>
      <x v="67"/>
      <x v="15"/>
      <x v="4"/>
    </i>
    <i r="1">
      <x v="64"/>
      <x v="84"/>
      <x v="7"/>
      <x v="3"/>
    </i>
    <i r="1">
      <x v="65"/>
      <x v="94"/>
      <x v="3"/>
      <x v="3"/>
    </i>
    <i r="1">
      <x v="66"/>
      <x v="84"/>
      <x v="7"/>
      <x v="3"/>
    </i>
    <i r="1">
      <x v="71"/>
      <x v="88"/>
      <x v="5"/>
      <x v="3"/>
    </i>
    <i r="1">
      <x v="73"/>
      <x v="61"/>
      <x v="17"/>
      <x v="4"/>
    </i>
    <i r="1">
      <x v="78"/>
      <x v="57"/>
      <x v="20"/>
      <x v="4"/>
    </i>
    <i r="1">
      <x v="80"/>
      <x v="79"/>
      <x v="9"/>
      <x v="3"/>
    </i>
    <i r="1">
      <x v="81"/>
      <x v="89"/>
      <x v="5"/>
      <x v="3"/>
    </i>
    <i r="1">
      <x v="82"/>
      <x v="103"/>
      <x/>
      <x v="4"/>
    </i>
    <i r="1">
      <x v="84"/>
      <x v="91"/>
      <x v="5"/>
      <x v="4"/>
    </i>
    <i r="1">
      <x v="85"/>
      <x v="88"/>
      <x v="5"/>
      <x v="3"/>
    </i>
    <i r="1">
      <x v="86"/>
      <x v="67"/>
      <x v="15"/>
      <x v="4"/>
    </i>
    <i r="1">
      <x v="87"/>
      <x v="84"/>
      <x v="7"/>
      <x v="3"/>
    </i>
    <i r="1">
      <x v="88"/>
      <x v="87"/>
      <x v="6"/>
      <x/>
    </i>
    <i r="1">
      <x v="89"/>
      <x v="86"/>
      <x v="6"/>
      <x/>
    </i>
    <i r="1">
      <x v="90"/>
      <x v="78"/>
      <x v="10"/>
      <x v="4"/>
    </i>
    <i r="1">
      <x v="91"/>
      <x v="81"/>
      <x v="8"/>
      <x v="4"/>
    </i>
    <i r="1">
      <x v="92"/>
      <x v="60"/>
      <x v="18"/>
      <x v="4"/>
    </i>
    <i r="1">
      <x v="93"/>
      <x v="102"/>
      <x/>
      <x v="3"/>
    </i>
    <i r="1">
      <x v="94"/>
      <x v="79"/>
      <x v="9"/>
      <x v="4"/>
    </i>
    <i r="1">
      <x v="96"/>
      <x v="106"/>
      <x/>
      <x v="3"/>
    </i>
    <i r="1">
      <x v="100"/>
      <x v="82"/>
      <x v="8"/>
      <x v="4"/>
    </i>
    <i r="1">
      <x v="101"/>
      <x v="88"/>
      <x v="5"/>
      <x v="3"/>
    </i>
    <i r="1">
      <x v="102"/>
      <x v="76"/>
      <x v="11"/>
      <x v="3"/>
    </i>
    <i r="1">
      <x v="106"/>
      <x v="97"/>
      <x v="2"/>
      <x v="3"/>
    </i>
    <i r="1">
      <x v="107"/>
      <x v="97"/>
      <x v="2"/>
      <x v="3"/>
    </i>
    <i r="1">
      <x v="112"/>
      <x v="105"/>
      <x/>
      <x v="3"/>
    </i>
    <i r="1">
      <x v="114"/>
      <x v="98"/>
      <x v="2"/>
      <x v="3"/>
    </i>
    <i r="1">
      <x v="116"/>
      <x v="103"/>
      <x/>
      <x v="3"/>
    </i>
    <i r="1">
      <x v="118"/>
      <x v="80"/>
      <x v="8"/>
      <x v="3"/>
    </i>
    <i r="1">
      <x v="120"/>
      <x v="65"/>
      <x v="16"/>
      <x/>
    </i>
    <i r="1">
      <x v="121"/>
      <x v="79"/>
      <x v="9"/>
      <x v="3"/>
    </i>
    <i r="1">
      <x v="122"/>
      <x v="98"/>
      <x v="2"/>
      <x v="3"/>
    </i>
    <i r="1">
      <x v="123"/>
      <x v="69"/>
      <x v="15"/>
      <x v="4"/>
    </i>
    <i r="1">
      <x v="124"/>
      <x v="102"/>
      <x/>
      <x v="3"/>
    </i>
    <i r="1">
      <x v="126"/>
      <x v="81"/>
      <x v="8"/>
      <x v="4"/>
    </i>
    <i r="1">
      <x v="128"/>
      <x v="75"/>
      <x v="12"/>
      <x v="3"/>
    </i>
    <i r="1">
      <x v="132"/>
      <x v="71"/>
      <x v="14"/>
      <x/>
    </i>
    <i r="1">
      <x v="136"/>
      <x v="99"/>
      <x v="2"/>
      <x v="3"/>
    </i>
    <i r="1">
      <x v="138"/>
      <x v="66"/>
      <x v="15"/>
      <x v="4"/>
    </i>
    <i r="1">
      <x v="140"/>
      <x v="97"/>
      <x v="2"/>
      <x v="3"/>
    </i>
    <i r="1">
      <x v="142"/>
      <x v="82"/>
      <x v="8"/>
      <x v="3"/>
    </i>
    <i r="1">
      <x v="143"/>
      <x v="88"/>
      <x v="5"/>
      <x v="3"/>
    </i>
    <i r="1">
      <x v="144"/>
      <x v="75"/>
      <x v="12"/>
      <x v="3"/>
    </i>
    <i r="1">
      <x v="145"/>
      <x v="80"/>
      <x v="8"/>
      <x v="3"/>
    </i>
    <i r="1">
      <x v="150"/>
      <x v="66"/>
      <x v="15"/>
      <x v="3"/>
    </i>
    <i r="1">
      <x v="152"/>
      <x v="68"/>
      <x v="15"/>
      <x v="4"/>
    </i>
    <i r="1">
      <x v="153"/>
      <x v="79"/>
      <x v="9"/>
      <x v="3"/>
    </i>
    <i r="1">
      <x v="154"/>
      <x v="95"/>
      <x v="3"/>
      <x v="3"/>
    </i>
    <i r="1">
      <x v="155"/>
      <x v="80"/>
      <x v="8"/>
      <x v="4"/>
    </i>
    <i r="1">
      <x v="157"/>
      <x v="80"/>
      <x v="8"/>
      <x v="3"/>
    </i>
    <i r="1">
      <x v="158"/>
      <x v="77"/>
      <x v="10"/>
      <x v="3"/>
    </i>
    <i r="1">
      <x v="160"/>
      <x v="56"/>
      <x v="20"/>
      <x v="4"/>
    </i>
    <i r="1">
      <x v="161"/>
      <x v="75"/>
      <x v="12"/>
      <x v="3"/>
    </i>
    <i r="1">
      <x v="163"/>
      <x v="63"/>
      <x v="17"/>
      <x v="2"/>
    </i>
    <i r="1">
      <x v="164"/>
      <x v="81"/>
      <x v="8"/>
      <x v="3"/>
    </i>
    <i r="1">
      <x v="167"/>
      <x v="75"/>
      <x v="12"/>
      <x v="1"/>
    </i>
    <i r="1">
      <x v="169"/>
      <x v="100"/>
      <x v="1"/>
      <x v="3"/>
    </i>
    <i r="1">
      <x v="174"/>
      <x v="56"/>
      <x v="20"/>
      <x v="4"/>
    </i>
    <i r="1">
      <x v="175"/>
      <x v="62"/>
      <x v="17"/>
      <x v="4"/>
    </i>
    <i r="1">
      <x v="176"/>
      <x v="73"/>
      <x v="12"/>
      <x v="4"/>
    </i>
    <i r="1">
      <x v="178"/>
      <x v="63"/>
      <x v="17"/>
      <x/>
    </i>
    <i r="1">
      <x v="182"/>
      <x v="101"/>
      <x v="1"/>
      <x v="3"/>
    </i>
    <i r="1">
      <x v="183"/>
      <x v="81"/>
      <x v="8"/>
      <x v="3"/>
    </i>
    <i r="1">
      <x v="184"/>
      <x v="86"/>
      <x v="6"/>
      <x v="4"/>
    </i>
    <i t="default">
      <x/>
    </i>
    <i>
      <x v="1"/>
      <x/>
      <x v="19"/>
      <x v="32"/>
      <x v="1"/>
    </i>
    <i r="1">
      <x v="3"/>
      <x v="48"/>
      <x v="23"/>
      <x v="4"/>
    </i>
    <i r="1">
      <x v="6"/>
      <x v="31"/>
      <x v="28"/>
      <x v="4"/>
    </i>
    <i r="1">
      <x v="7"/>
      <x v="25"/>
      <x v="31"/>
      <x v="4"/>
    </i>
    <i r="1">
      <x v="8"/>
      <x v="44"/>
      <x v="25"/>
      <x v="4"/>
    </i>
    <i r="1">
      <x v="9"/>
      <x v="55"/>
      <x v="21"/>
      <x v="4"/>
    </i>
    <i r="1">
      <x v="11"/>
      <x v="16"/>
      <x v="34"/>
      <x v="1"/>
    </i>
    <i r="1">
      <x v="12"/>
      <x v="34"/>
      <x v="27"/>
      <x v="3"/>
    </i>
    <i r="1">
      <x v="15"/>
      <x v="33"/>
      <x v="28"/>
      <x v="1"/>
    </i>
    <i r="1">
      <x v="18"/>
      <x v="42"/>
      <x v="25"/>
      <x v="4"/>
    </i>
    <i r="1">
      <x v="26"/>
      <x v="55"/>
      <x v="21"/>
      <x v="1"/>
    </i>
    <i r="1">
      <x v="29"/>
      <x v="40"/>
      <x v="26"/>
      <x v="1"/>
    </i>
    <i r="1">
      <x v="32"/>
      <x v="21"/>
      <x v="32"/>
      <x v="1"/>
    </i>
    <i r="1">
      <x v="33"/>
      <x v="17"/>
      <x v="33"/>
      <x v="1"/>
    </i>
    <i r="1">
      <x v="39"/>
      <x v="27"/>
      <x v="31"/>
      <x v="1"/>
    </i>
    <i r="1">
      <x v="44"/>
      <x v="46"/>
      <x v="24"/>
      <x v="3"/>
    </i>
    <i r="1">
      <x v="46"/>
      <x v="41"/>
      <x v="25"/>
      <x v="1"/>
    </i>
    <i r="1">
      <x v="47"/>
      <x v="46"/>
      <x v="24"/>
      <x v="4"/>
    </i>
    <i r="1">
      <x v="50"/>
      <x v="47"/>
      <x v="24"/>
      <x v="3"/>
    </i>
    <i r="1">
      <x v="52"/>
      <x v="32"/>
      <x v="28"/>
      <x v="3"/>
    </i>
    <i r="1">
      <x v="53"/>
      <x v="18"/>
      <x v="32"/>
      <x/>
    </i>
    <i r="1">
      <x v="60"/>
      <x v="26"/>
      <x v="31"/>
      <x v="1"/>
    </i>
    <i r="1">
      <x v="61"/>
      <x v="53"/>
      <x v="22"/>
      <x v="2"/>
    </i>
    <i r="1">
      <x v="62"/>
      <x v="13"/>
      <x v="35"/>
      <x v="1"/>
    </i>
    <i r="1">
      <x v="63"/>
      <x v="39"/>
      <x v="26"/>
      <x v="4"/>
    </i>
    <i r="1">
      <x v="67"/>
      <x v="42"/>
      <x v="25"/>
      <x v="4"/>
    </i>
    <i r="1">
      <x v="68"/>
      <x v="42"/>
      <x v="25"/>
      <x v="1"/>
    </i>
    <i r="1">
      <x v="69"/>
      <x v="32"/>
      <x v="28"/>
      <x v="3"/>
    </i>
    <i r="1">
      <x v="75"/>
      <x v="26"/>
      <x v="31"/>
      <x v="1"/>
    </i>
    <i r="1">
      <x v="76"/>
      <x v="36"/>
      <x v="26"/>
      <x v="4"/>
    </i>
    <i r="1">
      <x v="77"/>
      <x v="37"/>
      <x v="26"/>
      <x v="4"/>
    </i>
    <i r="1">
      <x v="83"/>
      <x v="11"/>
      <x v="36"/>
      <x/>
    </i>
    <i r="1">
      <x v="95"/>
      <x v="24"/>
      <x v="31"/>
      <x v="4"/>
    </i>
    <i r="1">
      <x v="97"/>
      <x v="32"/>
      <x v="28"/>
      <x v="1"/>
    </i>
    <i r="1">
      <x v="98"/>
      <x v="23"/>
      <x v="31"/>
      <x v="4"/>
    </i>
    <i r="1">
      <x v="99"/>
      <x v="18"/>
      <x v="32"/>
      <x v="3"/>
    </i>
    <i r="1">
      <x v="103"/>
      <x v="19"/>
      <x v="32"/>
      <x/>
    </i>
    <i r="1">
      <x v="109"/>
      <x v="50"/>
      <x v="22"/>
      <x v="4"/>
    </i>
    <i r="1">
      <x v="110"/>
      <x v="33"/>
      <x v="28"/>
      <x v="1"/>
    </i>
    <i r="1">
      <x v="111"/>
      <x v="51"/>
      <x v="22"/>
      <x v="4"/>
    </i>
    <i r="1">
      <x v="113"/>
      <x v="55"/>
      <x v="21"/>
      <x v="4"/>
    </i>
    <i r="1">
      <x v="115"/>
      <x v="28"/>
      <x v="30"/>
      <x v="4"/>
    </i>
    <i r="1">
      <x v="117"/>
      <x v="15"/>
      <x v="34"/>
      <x/>
    </i>
    <i r="1">
      <x v="119"/>
      <x v="24"/>
      <x v="31"/>
      <x v="1"/>
    </i>
    <i r="1">
      <x v="125"/>
      <x v="49"/>
      <x v="23"/>
      <x/>
    </i>
    <i r="1">
      <x v="127"/>
      <x v="40"/>
      <x v="26"/>
      <x v="4"/>
    </i>
    <i r="1">
      <x v="129"/>
      <x v="53"/>
      <x v="22"/>
      <x v="4"/>
    </i>
    <i r="1">
      <x v="130"/>
      <x v="54"/>
      <x v="21"/>
      <x v="4"/>
    </i>
    <i r="1">
      <x v="131"/>
      <x v="29"/>
      <x v="30"/>
      <x v="1"/>
    </i>
    <i r="1">
      <x v="133"/>
      <x v="34"/>
      <x v="27"/>
      <x v="3"/>
    </i>
    <i r="1">
      <x v="135"/>
      <x v="37"/>
      <x v="26"/>
      <x v="3"/>
    </i>
    <i r="1">
      <x v="137"/>
      <x v="22"/>
      <x v="31"/>
      <x v="1"/>
    </i>
    <i r="1">
      <x v="139"/>
      <x v="14"/>
      <x v="35"/>
      <x/>
    </i>
    <i r="1">
      <x v="141"/>
      <x v="35"/>
      <x v="27"/>
      <x v="1"/>
    </i>
    <i r="1">
      <x v="146"/>
      <x v="50"/>
      <x v="22"/>
      <x v="4"/>
    </i>
    <i r="1">
      <x v="147"/>
      <x v="52"/>
      <x v="22"/>
      <x v="3"/>
    </i>
    <i r="1">
      <x v="148"/>
      <x v="55"/>
      <x v="21"/>
      <x v="3"/>
    </i>
    <i r="1">
      <x v="151"/>
      <x v="36"/>
      <x v="26"/>
      <x v="3"/>
    </i>
    <i r="1">
      <x v="156"/>
      <x v="48"/>
      <x v="23"/>
      <x v="4"/>
    </i>
    <i r="1">
      <x v="159"/>
      <x v="31"/>
      <x v="28"/>
      <x v="3"/>
    </i>
    <i r="1">
      <x v="166"/>
      <x v="20"/>
      <x v="32"/>
      <x v="3"/>
    </i>
    <i r="1">
      <x v="168"/>
      <x v="45"/>
      <x v="24"/>
      <x v="4"/>
    </i>
    <i r="1">
      <x v="170"/>
      <x v="23"/>
      <x v="31"/>
      <x v="1"/>
    </i>
    <i r="1">
      <x v="172"/>
      <x v="48"/>
      <x v="23"/>
      <x v="3"/>
    </i>
    <i r="1">
      <x v="173"/>
      <x v="30"/>
      <x v="29"/>
      <x v="1"/>
    </i>
    <i r="1">
      <x v="177"/>
      <x v="43"/>
      <x v="25"/>
      <x v="4"/>
    </i>
    <i r="1">
      <x v="179"/>
      <x v="38"/>
      <x v="26"/>
      <x v="3"/>
    </i>
    <i r="1">
      <x v="181"/>
      <x v="12"/>
      <x v="35"/>
      <x v="1"/>
    </i>
    <i r="1">
      <x v="185"/>
      <x v="36"/>
      <x v="26"/>
      <x v="3"/>
    </i>
    <i t="default">
      <x v="1"/>
    </i>
    <i>
      <x v="2"/>
      <x v="1"/>
      <x/>
      <x v="43"/>
      <x v="2"/>
    </i>
    <i r="1">
      <x v="14"/>
      <x v="9"/>
      <x v="38"/>
      <x v="3"/>
    </i>
    <i r="1">
      <x v="17"/>
      <x/>
      <x v="43"/>
      <x v="2"/>
    </i>
    <i r="1">
      <x v="19"/>
      <x v="1"/>
      <x v="42"/>
      <x/>
    </i>
    <i r="1">
      <x v="21"/>
      <x v="8"/>
      <x v="38"/>
      <x v="3"/>
    </i>
    <i r="1">
      <x v="40"/>
      <x v="6"/>
      <x v="39"/>
      <x/>
    </i>
    <i r="1">
      <x v="43"/>
      <x/>
      <x v="43"/>
      <x v="1"/>
    </i>
    <i r="1">
      <x v="51"/>
      <x v="2"/>
      <x v="42"/>
      <x/>
    </i>
    <i r="1">
      <x v="56"/>
      <x v="10"/>
      <x v="37"/>
      <x/>
    </i>
    <i r="1">
      <x v="57"/>
      <x v="7"/>
      <x v="38"/>
      <x v="4"/>
    </i>
    <i r="1">
      <x v="70"/>
      <x/>
      <x v="43"/>
      <x v="2"/>
    </i>
    <i r="1">
      <x v="72"/>
      <x v="4"/>
      <x v="40"/>
      <x v="2"/>
    </i>
    <i r="1">
      <x v="74"/>
      <x v="3"/>
      <x v="41"/>
      <x v="2"/>
    </i>
    <i r="1">
      <x v="79"/>
      <x v="4"/>
      <x v="40"/>
      <x v="4"/>
    </i>
    <i r="1">
      <x v="104"/>
      <x v="9"/>
      <x v="38"/>
      <x/>
    </i>
    <i r="1">
      <x v="105"/>
      <x/>
      <x v="43"/>
      <x v="4"/>
    </i>
    <i r="1">
      <x v="108"/>
      <x v="4"/>
      <x v="40"/>
      <x v="1"/>
    </i>
    <i r="1">
      <x v="134"/>
      <x/>
      <x v="43"/>
      <x v="2"/>
    </i>
    <i r="1">
      <x v="149"/>
      <x v="4"/>
      <x v="40"/>
      <x v="4"/>
    </i>
    <i r="1">
      <x v="162"/>
      <x v="4"/>
      <x v="40"/>
      <x v="2"/>
    </i>
    <i r="1">
      <x v="165"/>
      <x v="4"/>
      <x v="40"/>
      <x v="4"/>
    </i>
    <i r="1">
      <x v="171"/>
      <x v="5"/>
      <x v="40"/>
      <x v="1"/>
    </i>
    <i r="1">
      <x v="180"/>
      <x v="4"/>
      <x v="40"/>
      <x v="1"/>
    </i>
    <i t="default">
      <x v="2"/>
    </i>
    <i t="grand">
      <x/>
    </i>
  </rowItems>
  <colItems count="1">
    <i/>
  </colItems>
  <dataFields count="1">
    <dataField name="Count" fld="3" subtotal="count" baseField="0" baseItem="0"/>
  </dataFields>
  <formats count="1106">
    <format dxfId="1105">
      <pivotArea type="all" dataOnly="0" outline="0" fieldPosition="0"/>
    </format>
    <format dxfId="1104">
      <pivotArea outline="0" collapsedLevelsAreSubtotals="1" fieldPosition="0"/>
    </format>
    <format dxfId="1103">
      <pivotArea field="11" type="button" dataOnly="0" labelOnly="1" outline="0" axis="axisRow" fieldPosition="0"/>
    </format>
    <format dxfId="1102">
      <pivotArea field="3" type="button" dataOnly="0" labelOnly="1" outline="0" axis="axisRow" fieldPosition="1"/>
    </format>
    <format dxfId="1101">
      <pivotArea field="5" type="button" dataOnly="0" labelOnly="1" outline="0" axis="axisRow" fieldPosition="2"/>
    </format>
    <format dxfId="1100">
      <pivotArea field="10" type="button" dataOnly="0" labelOnly="1" outline="0" axis="axisRow" fieldPosition="3"/>
    </format>
    <format dxfId="1099">
      <pivotArea field="12" type="button" dataOnly="0" labelOnly="1" outline="0" axis="axisRow" fieldPosition="4"/>
    </format>
    <format dxfId="1098">
      <pivotArea dataOnly="0" labelOnly="1" outline="0" fieldPosition="0">
        <references count="1">
          <reference field="11" count="0"/>
        </references>
      </pivotArea>
    </format>
    <format dxfId="1097">
      <pivotArea dataOnly="0" labelOnly="1" outline="0" fieldPosition="0">
        <references count="1">
          <reference field="11" count="0" defaultSubtotal="1"/>
        </references>
      </pivotArea>
    </format>
    <format dxfId="1096">
      <pivotArea dataOnly="0" labelOnly="1" grandRow="1" outline="0" fieldPosition="0"/>
    </format>
    <format dxfId="1095">
      <pivotArea dataOnly="0" labelOnly="1" outline="0" fieldPosition="0">
        <references count="2">
          <reference field="3" count="50">
            <x v="2"/>
            <x v="4"/>
            <x v="5"/>
            <x v="10"/>
            <x v="13"/>
            <x v="16"/>
            <x v="20"/>
            <x v="22"/>
            <x v="23"/>
            <x v="24"/>
            <x v="25"/>
            <x v="27"/>
            <x v="28"/>
            <x v="30"/>
            <x v="31"/>
            <x v="34"/>
            <x v="35"/>
            <x v="36"/>
            <x v="37"/>
            <x v="38"/>
            <x v="41"/>
            <x v="42"/>
            <x v="45"/>
            <x v="48"/>
            <x v="49"/>
            <x v="54"/>
            <x v="55"/>
            <x v="58"/>
            <x v="59"/>
            <x v="64"/>
            <x v="65"/>
            <x v="66"/>
            <x v="71"/>
            <x v="73"/>
            <x v="78"/>
            <x v="80"/>
            <x v="81"/>
            <x v="82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6"/>
          </reference>
          <reference field="11" count="1" selected="0">
            <x v="0"/>
          </reference>
        </references>
      </pivotArea>
    </format>
    <format dxfId="1094">
      <pivotArea dataOnly="0" labelOnly="1" outline="0" fieldPosition="0">
        <references count="2">
          <reference field="3" count="44">
            <x v="100"/>
            <x v="101"/>
            <x v="102"/>
            <x v="106"/>
            <x v="107"/>
            <x v="112"/>
            <x v="114"/>
            <x v="116"/>
            <x v="118"/>
            <x v="120"/>
            <x v="121"/>
            <x v="122"/>
            <x v="123"/>
            <x v="124"/>
            <x v="126"/>
            <x v="128"/>
            <x v="132"/>
            <x v="136"/>
            <x v="138"/>
            <x v="140"/>
            <x v="142"/>
            <x v="143"/>
            <x v="144"/>
            <x v="145"/>
            <x v="150"/>
            <x v="152"/>
            <x v="153"/>
            <x v="154"/>
            <x v="155"/>
            <x v="157"/>
            <x v="158"/>
            <x v="160"/>
            <x v="161"/>
            <x v="163"/>
            <x v="164"/>
            <x v="167"/>
            <x v="169"/>
            <x v="174"/>
            <x v="175"/>
            <x v="176"/>
            <x v="178"/>
            <x v="182"/>
            <x v="183"/>
            <x v="184"/>
          </reference>
          <reference field="11" count="1" selected="0">
            <x v="0"/>
          </reference>
        </references>
      </pivotArea>
    </format>
    <format dxfId="1093">
      <pivotArea dataOnly="0" labelOnly="1" outline="0" fieldPosition="0">
        <references count="2">
          <reference field="3" count="50">
            <x v="0"/>
            <x v="3"/>
            <x v="6"/>
            <x v="7"/>
            <x v="8"/>
            <x v="9"/>
            <x v="11"/>
            <x v="12"/>
            <x v="15"/>
            <x v="18"/>
            <x v="26"/>
            <x v="29"/>
            <x v="32"/>
            <x v="33"/>
            <x v="39"/>
            <x v="44"/>
            <x v="46"/>
            <x v="47"/>
            <x v="50"/>
            <x v="52"/>
            <x v="53"/>
            <x v="60"/>
            <x v="61"/>
            <x v="62"/>
            <x v="63"/>
            <x v="67"/>
            <x v="68"/>
            <x v="69"/>
            <x v="75"/>
            <x v="76"/>
            <x v="77"/>
            <x v="83"/>
            <x v="95"/>
            <x v="97"/>
            <x v="98"/>
            <x v="99"/>
            <x v="103"/>
            <x v="109"/>
            <x v="110"/>
            <x v="111"/>
            <x v="113"/>
            <x v="115"/>
            <x v="117"/>
            <x v="119"/>
            <x v="125"/>
            <x v="127"/>
            <x v="129"/>
            <x v="130"/>
            <x v="131"/>
            <x v="133"/>
          </reference>
          <reference field="11" count="1" selected="0">
            <x v="1"/>
          </reference>
        </references>
      </pivotArea>
    </format>
    <format dxfId="1092">
      <pivotArea dataOnly="0" labelOnly="1" outline="0" fieldPosition="0">
        <references count="2">
          <reference field="3" count="19">
            <x v="135"/>
            <x v="137"/>
            <x v="139"/>
            <x v="141"/>
            <x v="146"/>
            <x v="147"/>
            <x v="148"/>
            <x v="151"/>
            <x v="156"/>
            <x v="159"/>
            <x v="166"/>
            <x v="168"/>
            <x v="170"/>
            <x v="172"/>
            <x v="173"/>
            <x v="177"/>
            <x v="179"/>
            <x v="181"/>
            <x v="185"/>
          </reference>
          <reference field="11" count="1" selected="0">
            <x v="1"/>
          </reference>
        </references>
      </pivotArea>
    </format>
    <format dxfId="1091">
      <pivotArea dataOnly="0" labelOnly="1" outline="0" fieldPosition="0">
        <references count="2">
          <reference field="3" count="23">
            <x v="1"/>
            <x v="14"/>
            <x v="17"/>
            <x v="19"/>
            <x v="21"/>
            <x v="40"/>
            <x v="43"/>
            <x v="51"/>
            <x v="56"/>
            <x v="57"/>
            <x v="70"/>
            <x v="72"/>
            <x v="74"/>
            <x v="79"/>
            <x v="104"/>
            <x v="105"/>
            <x v="108"/>
            <x v="134"/>
            <x v="149"/>
            <x v="162"/>
            <x v="165"/>
            <x v="171"/>
            <x v="180"/>
          </reference>
          <reference field="11" count="1" selected="0">
            <x v="2"/>
          </reference>
        </references>
      </pivotArea>
    </format>
    <format dxfId="1090">
      <pivotArea dataOnly="0" labelOnly="1" outline="0" fieldPosition="0">
        <references count="3">
          <reference field="3" count="1" selected="0">
            <x v="2"/>
          </reference>
          <reference field="5" count="1">
            <x v="58"/>
          </reference>
          <reference field="11" count="1" selected="0">
            <x v="0"/>
          </reference>
        </references>
      </pivotArea>
    </format>
    <format dxfId="1089">
      <pivotArea dataOnly="0" labelOnly="1" outline="0" fieldPosition="0">
        <references count="3">
          <reference field="3" count="1" selected="0">
            <x v="4"/>
          </reference>
          <reference field="5" count="1">
            <x v="59"/>
          </reference>
          <reference field="11" count="1" selected="0">
            <x v="0"/>
          </reference>
        </references>
      </pivotArea>
    </format>
    <format dxfId="1088">
      <pivotArea dataOnly="0" labelOnly="1" outline="0" fieldPosition="0">
        <references count="3">
          <reference field="3" count="1" selected="0">
            <x v="5"/>
          </reference>
          <reference field="5" count="1">
            <x v="70"/>
          </reference>
          <reference field="11" count="1" selected="0">
            <x v="0"/>
          </reference>
        </references>
      </pivotArea>
    </format>
    <format dxfId="1087">
      <pivotArea dataOnly="0" labelOnly="1" outline="0" fieldPosition="0">
        <references count="3">
          <reference field="3" count="1" selected="0">
            <x v="10"/>
          </reference>
          <reference field="5" count="1">
            <x v="71"/>
          </reference>
          <reference field="11" count="1" selected="0">
            <x v="0"/>
          </reference>
        </references>
      </pivotArea>
    </format>
    <format dxfId="1086">
      <pivotArea dataOnly="0" labelOnly="1" outline="0" fieldPosition="0">
        <references count="3">
          <reference field="3" count="1" selected="0">
            <x v="13"/>
          </reference>
          <reference field="5" count="1">
            <x v="83"/>
          </reference>
          <reference field="11" count="1" selected="0">
            <x v="0"/>
          </reference>
        </references>
      </pivotArea>
    </format>
    <format dxfId="1085">
      <pivotArea dataOnly="0" labelOnly="1" outline="0" fieldPosition="0">
        <references count="3">
          <reference field="3" count="1" selected="0">
            <x v="16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1084">
      <pivotArea dataOnly="0" labelOnly="1" outline="0" fieldPosition="0">
        <references count="3">
          <reference field="3" count="1" selected="0">
            <x v="20"/>
          </reference>
          <reference field="5" count="1">
            <x v="72"/>
          </reference>
          <reference field="11" count="1" selected="0">
            <x v="0"/>
          </reference>
        </references>
      </pivotArea>
    </format>
    <format dxfId="1083">
      <pivotArea dataOnly="0" labelOnly="1" outline="0" fieldPosition="0">
        <references count="3">
          <reference field="3" count="1" selected="0">
            <x v="22"/>
          </reference>
          <reference field="5" count="1">
            <x v="67"/>
          </reference>
          <reference field="11" count="1" selected="0">
            <x v="0"/>
          </reference>
        </references>
      </pivotArea>
    </format>
    <format dxfId="1082">
      <pivotArea dataOnly="0" labelOnly="1" outline="0" fieldPosition="0">
        <references count="3">
          <reference field="3" count="1" selected="0">
            <x v="23"/>
          </reference>
          <reference field="5" count="1">
            <x v="93"/>
          </reference>
          <reference field="11" count="1" selected="0">
            <x v="0"/>
          </reference>
        </references>
      </pivotArea>
    </format>
    <format dxfId="1081">
      <pivotArea dataOnly="0" labelOnly="1" outline="0" fieldPosition="0">
        <references count="3">
          <reference field="3" count="1" selected="0">
            <x v="24"/>
          </reference>
          <reference field="5" count="1">
            <x v="82"/>
          </reference>
          <reference field="11" count="1" selected="0">
            <x v="0"/>
          </reference>
        </references>
      </pivotArea>
    </format>
    <format dxfId="1080">
      <pivotArea dataOnly="0" labelOnly="1" outline="0" fieldPosition="0">
        <references count="3">
          <reference field="3" count="1" selected="0">
            <x v="25"/>
          </reference>
          <reference field="5" count="1">
            <x v="67"/>
          </reference>
          <reference field="11" count="1" selected="0">
            <x v="0"/>
          </reference>
        </references>
      </pivotArea>
    </format>
    <format dxfId="1079">
      <pivotArea dataOnly="0" labelOnly="1" outline="0" fieldPosition="0">
        <references count="3">
          <reference field="3" count="1" selected="0">
            <x v="27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1078">
      <pivotArea dataOnly="0" labelOnly="1" outline="0" fieldPosition="0">
        <references count="3">
          <reference field="3" count="1" selected="0">
            <x v="28"/>
          </reference>
          <reference field="5" count="1">
            <x v="56"/>
          </reference>
          <reference field="11" count="1" selected="0">
            <x v="0"/>
          </reference>
        </references>
      </pivotArea>
    </format>
    <format dxfId="1077">
      <pivotArea dataOnly="0" labelOnly="1" outline="0" fieldPosition="0">
        <references count="3">
          <reference field="3" count="1" selected="0">
            <x v="30"/>
          </reference>
          <reference field="5" count="1">
            <x v="105"/>
          </reference>
          <reference field="11" count="1" selected="0">
            <x v="0"/>
          </reference>
        </references>
      </pivotArea>
    </format>
    <format dxfId="1076">
      <pivotArea dataOnly="0" labelOnly="1" outline="0" fieldPosition="0">
        <references count="3">
          <reference field="3" count="1" selected="0">
            <x v="31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1075">
      <pivotArea dataOnly="0" labelOnly="1" outline="0" fieldPosition="0">
        <references count="3">
          <reference field="3" count="1" selected="0">
            <x v="34"/>
          </reference>
          <reference field="5" count="1">
            <x v="85"/>
          </reference>
          <reference field="11" count="1" selected="0">
            <x v="0"/>
          </reference>
        </references>
      </pivotArea>
    </format>
    <format dxfId="1074">
      <pivotArea dataOnly="0" labelOnly="1" outline="0" fieldPosition="0">
        <references count="3">
          <reference field="3" count="1" selected="0">
            <x v="35"/>
          </reference>
          <reference field="5" count="1">
            <x v="64"/>
          </reference>
          <reference field="11" count="1" selected="0">
            <x v="0"/>
          </reference>
        </references>
      </pivotArea>
    </format>
    <format dxfId="1073">
      <pivotArea dataOnly="0" labelOnly="1" outline="0" fieldPosition="0">
        <references count="3">
          <reference field="3" count="1" selected="0">
            <x v="36"/>
          </reference>
          <reference field="5" count="1">
            <x v="69"/>
          </reference>
          <reference field="11" count="1" selected="0">
            <x v="0"/>
          </reference>
        </references>
      </pivotArea>
    </format>
    <format dxfId="1072">
      <pivotArea dataOnly="0" labelOnly="1" outline="0" fieldPosition="0">
        <references count="3">
          <reference field="3" count="1" selected="0">
            <x v="37"/>
          </reference>
          <reference field="5" count="1">
            <x v="90"/>
          </reference>
          <reference field="11" count="1" selected="0">
            <x v="0"/>
          </reference>
        </references>
      </pivotArea>
    </format>
    <format dxfId="1071">
      <pivotArea dataOnly="0" labelOnly="1" outline="0" fieldPosition="0">
        <references count="3">
          <reference field="3" count="1" selected="0">
            <x v="38"/>
          </reference>
          <reference field="5" count="1">
            <x v="92"/>
          </reference>
          <reference field="11" count="1" selected="0">
            <x v="0"/>
          </reference>
        </references>
      </pivotArea>
    </format>
    <format dxfId="1070">
      <pivotArea dataOnly="0" labelOnly="1" outline="0" fieldPosition="0">
        <references count="3">
          <reference field="3" count="1" selected="0">
            <x v="41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1069">
      <pivotArea dataOnly="0" labelOnly="1" outline="0" fieldPosition="0">
        <references count="3">
          <reference field="3" count="1" selected="0">
            <x v="42"/>
          </reference>
          <reference field="5" count="1">
            <x v="103"/>
          </reference>
          <reference field="11" count="1" selected="0">
            <x v="0"/>
          </reference>
        </references>
      </pivotArea>
    </format>
    <format dxfId="1068">
      <pivotArea dataOnly="0" labelOnly="1" outline="0" fieldPosition="0">
        <references count="3">
          <reference field="3" count="1" selected="0">
            <x v="45"/>
          </reference>
          <reference field="5" count="1">
            <x v="98"/>
          </reference>
          <reference field="11" count="1" selected="0">
            <x v="0"/>
          </reference>
        </references>
      </pivotArea>
    </format>
    <format dxfId="1067">
      <pivotArea dataOnly="0" labelOnly="1" outline="0" fieldPosition="0">
        <references count="3">
          <reference field="3" count="1" selected="0">
            <x v="48"/>
          </reference>
          <reference field="5" count="1">
            <x v="80"/>
          </reference>
          <reference field="11" count="1" selected="0">
            <x v="0"/>
          </reference>
        </references>
      </pivotArea>
    </format>
    <format dxfId="1066">
      <pivotArea dataOnly="0" labelOnly="1" outline="0" fieldPosition="0">
        <references count="3">
          <reference field="3" count="1" selected="0">
            <x v="49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1065">
      <pivotArea dataOnly="0" labelOnly="1" outline="0" fieldPosition="0">
        <references count="3">
          <reference field="3" count="1" selected="0">
            <x v="54"/>
          </reference>
          <reference field="5" count="1">
            <x v="74"/>
          </reference>
          <reference field="11" count="1" selected="0">
            <x v="0"/>
          </reference>
        </references>
      </pivotArea>
    </format>
    <format dxfId="1064">
      <pivotArea dataOnly="0" labelOnly="1" outline="0" fieldPosition="0">
        <references count="3">
          <reference field="3" count="1" selected="0">
            <x v="55"/>
          </reference>
          <reference field="5" count="1">
            <x v="96"/>
          </reference>
          <reference field="11" count="1" selected="0">
            <x v="0"/>
          </reference>
        </references>
      </pivotArea>
    </format>
    <format dxfId="1063">
      <pivotArea dataOnly="0" labelOnly="1" outline="0" fieldPosition="0">
        <references count="3">
          <reference field="3" count="1" selected="0">
            <x v="58"/>
          </reference>
          <reference field="5" count="1">
            <x v="104"/>
          </reference>
          <reference field="11" count="1" selected="0">
            <x v="0"/>
          </reference>
        </references>
      </pivotArea>
    </format>
    <format dxfId="1062">
      <pivotArea dataOnly="0" labelOnly="1" outline="0" fieldPosition="0">
        <references count="3">
          <reference field="3" count="1" selected="0">
            <x v="59"/>
          </reference>
          <reference field="5" count="1">
            <x v="67"/>
          </reference>
          <reference field="11" count="1" selected="0">
            <x v="0"/>
          </reference>
        </references>
      </pivotArea>
    </format>
    <format dxfId="1061">
      <pivotArea dataOnly="0" labelOnly="1" outline="0" fieldPosition="0">
        <references count="3">
          <reference field="3" count="1" selected="0">
            <x v="64"/>
          </reference>
          <reference field="5" count="1">
            <x v="84"/>
          </reference>
          <reference field="11" count="1" selected="0">
            <x v="0"/>
          </reference>
        </references>
      </pivotArea>
    </format>
    <format dxfId="1060">
      <pivotArea dataOnly="0" labelOnly="1" outline="0" fieldPosition="0">
        <references count="3">
          <reference field="3" count="1" selected="0">
            <x v="65"/>
          </reference>
          <reference field="5" count="1">
            <x v="94"/>
          </reference>
          <reference field="11" count="1" selected="0">
            <x v="0"/>
          </reference>
        </references>
      </pivotArea>
    </format>
    <format dxfId="1059">
      <pivotArea dataOnly="0" labelOnly="1" outline="0" fieldPosition="0">
        <references count="3">
          <reference field="3" count="1" selected="0">
            <x v="66"/>
          </reference>
          <reference field="5" count="1">
            <x v="84"/>
          </reference>
          <reference field="11" count="1" selected="0">
            <x v="0"/>
          </reference>
        </references>
      </pivotArea>
    </format>
    <format dxfId="1058">
      <pivotArea dataOnly="0" labelOnly="1" outline="0" fieldPosition="0">
        <references count="3">
          <reference field="3" count="1" selected="0">
            <x v="71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1057">
      <pivotArea dataOnly="0" labelOnly="1" outline="0" fieldPosition="0">
        <references count="3">
          <reference field="3" count="1" selected="0">
            <x v="73"/>
          </reference>
          <reference field="5" count="1">
            <x v="61"/>
          </reference>
          <reference field="11" count="1" selected="0">
            <x v="0"/>
          </reference>
        </references>
      </pivotArea>
    </format>
    <format dxfId="1056">
      <pivotArea dataOnly="0" labelOnly="1" outline="0" fieldPosition="0">
        <references count="3">
          <reference field="3" count="1" selected="0">
            <x v="78"/>
          </reference>
          <reference field="5" count="1">
            <x v="57"/>
          </reference>
          <reference field="11" count="1" selected="0">
            <x v="0"/>
          </reference>
        </references>
      </pivotArea>
    </format>
    <format dxfId="1055">
      <pivotArea dataOnly="0" labelOnly="1" outline="0" fieldPosition="0">
        <references count="3">
          <reference field="3" count="1" selected="0">
            <x v="80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1054">
      <pivotArea dataOnly="0" labelOnly="1" outline="0" fieldPosition="0">
        <references count="3">
          <reference field="3" count="1" selected="0">
            <x v="81"/>
          </reference>
          <reference field="5" count="1">
            <x v="89"/>
          </reference>
          <reference field="11" count="1" selected="0">
            <x v="0"/>
          </reference>
        </references>
      </pivotArea>
    </format>
    <format dxfId="1053">
      <pivotArea dataOnly="0" labelOnly="1" outline="0" fieldPosition="0">
        <references count="3">
          <reference field="3" count="1" selected="0">
            <x v="82"/>
          </reference>
          <reference field="5" count="1">
            <x v="103"/>
          </reference>
          <reference field="11" count="1" selected="0">
            <x v="0"/>
          </reference>
        </references>
      </pivotArea>
    </format>
    <format dxfId="1052">
      <pivotArea dataOnly="0" labelOnly="1" outline="0" fieldPosition="0">
        <references count="3">
          <reference field="3" count="1" selected="0">
            <x v="84"/>
          </reference>
          <reference field="5" count="1">
            <x v="91"/>
          </reference>
          <reference field="11" count="1" selected="0">
            <x v="0"/>
          </reference>
        </references>
      </pivotArea>
    </format>
    <format dxfId="1051">
      <pivotArea dataOnly="0" labelOnly="1" outline="0" fieldPosition="0">
        <references count="3">
          <reference field="3" count="1" selected="0">
            <x v="85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1050">
      <pivotArea dataOnly="0" labelOnly="1" outline="0" fieldPosition="0">
        <references count="3">
          <reference field="3" count="1" selected="0">
            <x v="86"/>
          </reference>
          <reference field="5" count="1">
            <x v="67"/>
          </reference>
          <reference field="11" count="1" selected="0">
            <x v="0"/>
          </reference>
        </references>
      </pivotArea>
    </format>
    <format dxfId="1049">
      <pivotArea dataOnly="0" labelOnly="1" outline="0" fieldPosition="0">
        <references count="3">
          <reference field="3" count="1" selected="0">
            <x v="87"/>
          </reference>
          <reference field="5" count="1">
            <x v="84"/>
          </reference>
          <reference field="11" count="1" selected="0">
            <x v="0"/>
          </reference>
        </references>
      </pivotArea>
    </format>
    <format dxfId="1048">
      <pivotArea dataOnly="0" labelOnly="1" outline="0" fieldPosition="0">
        <references count="3">
          <reference field="3" count="1" selected="0">
            <x v="88"/>
          </reference>
          <reference field="5" count="1">
            <x v="87"/>
          </reference>
          <reference field="11" count="1" selected="0">
            <x v="0"/>
          </reference>
        </references>
      </pivotArea>
    </format>
    <format dxfId="1047">
      <pivotArea dataOnly="0" labelOnly="1" outline="0" fieldPosition="0">
        <references count="3">
          <reference field="3" count="1" selected="0">
            <x v="89"/>
          </reference>
          <reference field="5" count="1">
            <x v="86"/>
          </reference>
          <reference field="11" count="1" selected="0">
            <x v="0"/>
          </reference>
        </references>
      </pivotArea>
    </format>
    <format dxfId="1046">
      <pivotArea dataOnly="0" labelOnly="1" outline="0" fieldPosition="0">
        <references count="3">
          <reference field="3" count="1" selected="0">
            <x v="90"/>
          </reference>
          <reference field="5" count="1">
            <x v="78"/>
          </reference>
          <reference field="11" count="1" selected="0">
            <x v="0"/>
          </reference>
        </references>
      </pivotArea>
    </format>
    <format dxfId="1045">
      <pivotArea dataOnly="0" labelOnly="1" outline="0" fieldPosition="0">
        <references count="3">
          <reference field="3" count="1" selected="0">
            <x v="91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1044">
      <pivotArea dataOnly="0" labelOnly="1" outline="0" fieldPosition="0">
        <references count="3">
          <reference field="3" count="1" selected="0">
            <x v="92"/>
          </reference>
          <reference field="5" count="1">
            <x v="60"/>
          </reference>
          <reference field="11" count="1" selected="0">
            <x v="0"/>
          </reference>
        </references>
      </pivotArea>
    </format>
    <format dxfId="1043">
      <pivotArea dataOnly="0" labelOnly="1" outline="0" fieldPosition="0">
        <references count="3">
          <reference field="3" count="1" selected="0">
            <x v="93"/>
          </reference>
          <reference field="5" count="1">
            <x v="102"/>
          </reference>
          <reference field="11" count="1" selected="0">
            <x v="0"/>
          </reference>
        </references>
      </pivotArea>
    </format>
    <format dxfId="1042">
      <pivotArea dataOnly="0" labelOnly="1" outline="0" fieldPosition="0">
        <references count="3">
          <reference field="3" count="1" selected="0">
            <x v="94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1041">
      <pivotArea dataOnly="0" labelOnly="1" outline="0" fieldPosition="0">
        <references count="3">
          <reference field="3" count="1" selected="0">
            <x v="96"/>
          </reference>
          <reference field="5" count="1">
            <x v="106"/>
          </reference>
          <reference field="11" count="1" selected="0">
            <x v="0"/>
          </reference>
        </references>
      </pivotArea>
    </format>
    <format dxfId="1040">
      <pivotArea dataOnly="0" labelOnly="1" outline="0" fieldPosition="0">
        <references count="3">
          <reference field="3" count="1" selected="0">
            <x v="100"/>
          </reference>
          <reference field="5" count="1">
            <x v="82"/>
          </reference>
          <reference field="11" count="1" selected="0">
            <x v="0"/>
          </reference>
        </references>
      </pivotArea>
    </format>
    <format dxfId="1039">
      <pivotArea dataOnly="0" labelOnly="1" outline="0" fieldPosition="0">
        <references count="3">
          <reference field="3" count="1" selected="0">
            <x v="101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1038">
      <pivotArea dataOnly="0" labelOnly="1" outline="0" fieldPosition="0">
        <references count="3">
          <reference field="3" count="1" selected="0">
            <x v="102"/>
          </reference>
          <reference field="5" count="1">
            <x v="76"/>
          </reference>
          <reference field="11" count="1" selected="0">
            <x v="0"/>
          </reference>
        </references>
      </pivotArea>
    </format>
    <format dxfId="1037">
      <pivotArea dataOnly="0" labelOnly="1" outline="0" fieldPosition="0">
        <references count="3">
          <reference field="3" count="1" selected="0">
            <x v="106"/>
          </reference>
          <reference field="5" count="1">
            <x v="97"/>
          </reference>
          <reference field="11" count="1" selected="0">
            <x v="0"/>
          </reference>
        </references>
      </pivotArea>
    </format>
    <format dxfId="1036">
      <pivotArea dataOnly="0" labelOnly="1" outline="0" fieldPosition="0">
        <references count="3">
          <reference field="3" count="1" selected="0">
            <x v="112"/>
          </reference>
          <reference field="5" count="1">
            <x v="105"/>
          </reference>
          <reference field="11" count="1" selected="0">
            <x v="0"/>
          </reference>
        </references>
      </pivotArea>
    </format>
    <format dxfId="1035">
      <pivotArea dataOnly="0" labelOnly="1" outline="0" fieldPosition="0">
        <references count="3">
          <reference field="3" count="1" selected="0">
            <x v="114"/>
          </reference>
          <reference field="5" count="1">
            <x v="98"/>
          </reference>
          <reference field="11" count="1" selected="0">
            <x v="0"/>
          </reference>
        </references>
      </pivotArea>
    </format>
    <format dxfId="1034">
      <pivotArea dataOnly="0" labelOnly="1" outline="0" fieldPosition="0">
        <references count="3">
          <reference field="3" count="1" selected="0">
            <x v="116"/>
          </reference>
          <reference field="5" count="1">
            <x v="103"/>
          </reference>
          <reference field="11" count="1" selected="0">
            <x v="0"/>
          </reference>
        </references>
      </pivotArea>
    </format>
    <format dxfId="1033">
      <pivotArea dataOnly="0" labelOnly="1" outline="0" fieldPosition="0">
        <references count="3">
          <reference field="3" count="1" selected="0">
            <x v="118"/>
          </reference>
          <reference field="5" count="1">
            <x v="80"/>
          </reference>
          <reference field="11" count="1" selected="0">
            <x v="0"/>
          </reference>
        </references>
      </pivotArea>
    </format>
    <format dxfId="1032">
      <pivotArea dataOnly="0" labelOnly="1" outline="0" fieldPosition="0">
        <references count="3">
          <reference field="3" count="1" selected="0">
            <x v="120"/>
          </reference>
          <reference field="5" count="1">
            <x v="65"/>
          </reference>
          <reference field="11" count="1" selected="0">
            <x v="0"/>
          </reference>
        </references>
      </pivotArea>
    </format>
    <format dxfId="1031">
      <pivotArea dataOnly="0" labelOnly="1" outline="0" fieldPosition="0">
        <references count="3">
          <reference field="3" count="1" selected="0">
            <x v="121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1030">
      <pivotArea dataOnly="0" labelOnly="1" outline="0" fieldPosition="0">
        <references count="3">
          <reference field="3" count="1" selected="0">
            <x v="122"/>
          </reference>
          <reference field="5" count="1">
            <x v="98"/>
          </reference>
          <reference field="11" count="1" selected="0">
            <x v="0"/>
          </reference>
        </references>
      </pivotArea>
    </format>
    <format dxfId="1029">
      <pivotArea dataOnly="0" labelOnly="1" outline="0" fieldPosition="0">
        <references count="3">
          <reference field="3" count="1" selected="0">
            <x v="123"/>
          </reference>
          <reference field="5" count="1">
            <x v="69"/>
          </reference>
          <reference field="11" count="1" selected="0">
            <x v="0"/>
          </reference>
        </references>
      </pivotArea>
    </format>
    <format dxfId="1028">
      <pivotArea dataOnly="0" labelOnly="1" outline="0" fieldPosition="0">
        <references count="3">
          <reference field="3" count="1" selected="0">
            <x v="124"/>
          </reference>
          <reference field="5" count="1">
            <x v="102"/>
          </reference>
          <reference field="11" count="1" selected="0">
            <x v="0"/>
          </reference>
        </references>
      </pivotArea>
    </format>
    <format dxfId="1027">
      <pivotArea dataOnly="0" labelOnly="1" outline="0" fieldPosition="0">
        <references count="3">
          <reference field="3" count="1" selected="0">
            <x v="126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1026">
      <pivotArea dataOnly="0" labelOnly="1" outline="0" fieldPosition="0">
        <references count="3">
          <reference field="3" count="1" selected="0">
            <x v="128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1025">
      <pivotArea dataOnly="0" labelOnly="1" outline="0" fieldPosition="0">
        <references count="3">
          <reference field="3" count="1" selected="0">
            <x v="132"/>
          </reference>
          <reference field="5" count="1">
            <x v="71"/>
          </reference>
          <reference field="11" count="1" selected="0">
            <x v="0"/>
          </reference>
        </references>
      </pivotArea>
    </format>
    <format dxfId="1024">
      <pivotArea dataOnly="0" labelOnly="1" outline="0" fieldPosition="0">
        <references count="3">
          <reference field="3" count="1" selected="0">
            <x v="136"/>
          </reference>
          <reference field="5" count="1">
            <x v="99"/>
          </reference>
          <reference field="11" count="1" selected="0">
            <x v="0"/>
          </reference>
        </references>
      </pivotArea>
    </format>
    <format dxfId="1023">
      <pivotArea dataOnly="0" labelOnly="1" outline="0" fieldPosition="0">
        <references count="3">
          <reference field="3" count="1" selected="0">
            <x v="138"/>
          </reference>
          <reference field="5" count="1">
            <x v="66"/>
          </reference>
          <reference field="11" count="1" selected="0">
            <x v="0"/>
          </reference>
        </references>
      </pivotArea>
    </format>
    <format dxfId="1022">
      <pivotArea dataOnly="0" labelOnly="1" outline="0" fieldPosition="0">
        <references count="3">
          <reference field="3" count="1" selected="0">
            <x v="140"/>
          </reference>
          <reference field="5" count="1">
            <x v="97"/>
          </reference>
          <reference field="11" count="1" selected="0">
            <x v="0"/>
          </reference>
        </references>
      </pivotArea>
    </format>
    <format dxfId="1021">
      <pivotArea dataOnly="0" labelOnly="1" outline="0" fieldPosition="0">
        <references count="3">
          <reference field="3" count="1" selected="0">
            <x v="142"/>
          </reference>
          <reference field="5" count="1">
            <x v="82"/>
          </reference>
          <reference field="11" count="1" selected="0">
            <x v="0"/>
          </reference>
        </references>
      </pivotArea>
    </format>
    <format dxfId="1020">
      <pivotArea dataOnly="0" labelOnly="1" outline="0" fieldPosition="0">
        <references count="3">
          <reference field="3" count="1" selected="0">
            <x v="143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1019">
      <pivotArea dataOnly="0" labelOnly="1" outline="0" fieldPosition="0">
        <references count="3">
          <reference field="3" count="1" selected="0">
            <x v="144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1018">
      <pivotArea dataOnly="0" labelOnly="1" outline="0" fieldPosition="0">
        <references count="3">
          <reference field="3" count="1" selected="0">
            <x v="145"/>
          </reference>
          <reference field="5" count="1">
            <x v="80"/>
          </reference>
          <reference field="11" count="1" selected="0">
            <x v="0"/>
          </reference>
        </references>
      </pivotArea>
    </format>
    <format dxfId="1017">
      <pivotArea dataOnly="0" labelOnly="1" outline="0" fieldPosition="0">
        <references count="3">
          <reference field="3" count="1" selected="0">
            <x v="150"/>
          </reference>
          <reference field="5" count="1">
            <x v="66"/>
          </reference>
          <reference field="11" count="1" selected="0">
            <x v="0"/>
          </reference>
        </references>
      </pivotArea>
    </format>
    <format dxfId="1016">
      <pivotArea dataOnly="0" labelOnly="1" outline="0" fieldPosition="0">
        <references count="3">
          <reference field="3" count="1" selected="0">
            <x v="152"/>
          </reference>
          <reference field="5" count="1">
            <x v="68"/>
          </reference>
          <reference field="11" count="1" selected="0">
            <x v="0"/>
          </reference>
        </references>
      </pivotArea>
    </format>
    <format dxfId="1015">
      <pivotArea dataOnly="0" labelOnly="1" outline="0" fieldPosition="0">
        <references count="3">
          <reference field="3" count="1" selected="0">
            <x v="153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1014">
      <pivotArea dataOnly="0" labelOnly="1" outline="0" fieldPosition="0">
        <references count="3">
          <reference field="3" count="1" selected="0">
            <x v="154"/>
          </reference>
          <reference field="5" count="1">
            <x v="95"/>
          </reference>
          <reference field="11" count="1" selected="0">
            <x v="0"/>
          </reference>
        </references>
      </pivotArea>
    </format>
    <format dxfId="1013">
      <pivotArea dataOnly="0" labelOnly="1" outline="0" fieldPosition="0">
        <references count="3">
          <reference field="3" count="1" selected="0">
            <x v="155"/>
          </reference>
          <reference field="5" count="1">
            <x v="80"/>
          </reference>
          <reference field="11" count="1" selected="0">
            <x v="0"/>
          </reference>
        </references>
      </pivotArea>
    </format>
    <format dxfId="1012">
      <pivotArea dataOnly="0" labelOnly="1" outline="0" fieldPosition="0">
        <references count="3">
          <reference field="3" count="1" selected="0">
            <x v="158"/>
          </reference>
          <reference field="5" count="1">
            <x v="77"/>
          </reference>
          <reference field="11" count="1" selected="0">
            <x v="0"/>
          </reference>
        </references>
      </pivotArea>
    </format>
    <format dxfId="1011">
      <pivotArea dataOnly="0" labelOnly="1" outline="0" fieldPosition="0">
        <references count="3">
          <reference field="3" count="1" selected="0">
            <x v="160"/>
          </reference>
          <reference field="5" count="1">
            <x v="56"/>
          </reference>
          <reference field="11" count="1" selected="0">
            <x v="0"/>
          </reference>
        </references>
      </pivotArea>
    </format>
    <format dxfId="1010">
      <pivotArea dataOnly="0" labelOnly="1" outline="0" fieldPosition="0">
        <references count="3">
          <reference field="3" count="1" selected="0">
            <x v="161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1009">
      <pivotArea dataOnly="0" labelOnly="1" outline="0" fieldPosition="0">
        <references count="3">
          <reference field="3" count="1" selected="0">
            <x v="163"/>
          </reference>
          <reference field="5" count="1">
            <x v="63"/>
          </reference>
          <reference field="11" count="1" selected="0">
            <x v="0"/>
          </reference>
        </references>
      </pivotArea>
    </format>
    <format dxfId="1008">
      <pivotArea dataOnly="0" labelOnly="1" outline="0" fieldPosition="0">
        <references count="3">
          <reference field="3" count="1" selected="0">
            <x v="164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1007">
      <pivotArea dataOnly="0" labelOnly="1" outline="0" fieldPosition="0">
        <references count="3">
          <reference field="3" count="1" selected="0">
            <x v="167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1006">
      <pivotArea dataOnly="0" labelOnly="1" outline="0" fieldPosition="0">
        <references count="3">
          <reference field="3" count="1" selected="0">
            <x v="169"/>
          </reference>
          <reference field="5" count="1">
            <x v="100"/>
          </reference>
          <reference field="11" count="1" selected="0">
            <x v="0"/>
          </reference>
        </references>
      </pivotArea>
    </format>
    <format dxfId="1005">
      <pivotArea dataOnly="0" labelOnly="1" outline="0" fieldPosition="0">
        <references count="3">
          <reference field="3" count="1" selected="0">
            <x v="174"/>
          </reference>
          <reference field="5" count="1">
            <x v="56"/>
          </reference>
          <reference field="11" count="1" selected="0">
            <x v="0"/>
          </reference>
        </references>
      </pivotArea>
    </format>
    <format dxfId="1004">
      <pivotArea dataOnly="0" labelOnly="1" outline="0" fieldPosition="0">
        <references count="3">
          <reference field="3" count="1" selected="0">
            <x v="175"/>
          </reference>
          <reference field="5" count="1">
            <x v="62"/>
          </reference>
          <reference field="11" count="1" selected="0">
            <x v="0"/>
          </reference>
        </references>
      </pivotArea>
    </format>
    <format dxfId="1003">
      <pivotArea dataOnly="0" labelOnly="1" outline="0" fieldPosition="0">
        <references count="3">
          <reference field="3" count="1" selected="0">
            <x v="176"/>
          </reference>
          <reference field="5" count="1">
            <x v="73"/>
          </reference>
          <reference field="11" count="1" selected="0">
            <x v="0"/>
          </reference>
        </references>
      </pivotArea>
    </format>
    <format dxfId="1002">
      <pivotArea dataOnly="0" labelOnly="1" outline="0" fieldPosition="0">
        <references count="3">
          <reference field="3" count="1" selected="0">
            <x v="178"/>
          </reference>
          <reference field="5" count="1">
            <x v="63"/>
          </reference>
          <reference field="11" count="1" selected="0">
            <x v="0"/>
          </reference>
        </references>
      </pivotArea>
    </format>
    <format dxfId="1001">
      <pivotArea dataOnly="0" labelOnly="1" outline="0" fieldPosition="0">
        <references count="3">
          <reference field="3" count="1" selected="0">
            <x v="182"/>
          </reference>
          <reference field="5" count="1">
            <x v="101"/>
          </reference>
          <reference field="11" count="1" selected="0">
            <x v="0"/>
          </reference>
        </references>
      </pivotArea>
    </format>
    <format dxfId="1000">
      <pivotArea dataOnly="0" labelOnly="1" outline="0" fieldPosition="0">
        <references count="3">
          <reference field="3" count="1" selected="0">
            <x v="183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999">
      <pivotArea dataOnly="0" labelOnly="1" outline="0" fieldPosition="0">
        <references count="3">
          <reference field="3" count="1" selected="0">
            <x v="184"/>
          </reference>
          <reference field="5" count="1">
            <x v="86"/>
          </reference>
          <reference field="11" count="1" selected="0">
            <x v="0"/>
          </reference>
        </references>
      </pivotArea>
    </format>
    <format dxfId="998">
      <pivotArea dataOnly="0" labelOnly="1" outline="0" fieldPosition="0">
        <references count="3">
          <reference field="3" count="1" selected="0">
            <x v="0"/>
          </reference>
          <reference field="5" count="1">
            <x v="19"/>
          </reference>
          <reference field="11" count="1" selected="0">
            <x v="1"/>
          </reference>
        </references>
      </pivotArea>
    </format>
    <format dxfId="997">
      <pivotArea dataOnly="0" labelOnly="1" outline="0" fieldPosition="0">
        <references count="3">
          <reference field="3" count="1" selected="0">
            <x v="3"/>
          </reference>
          <reference field="5" count="1">
            <x v="48"/>
          </reference>
          <reference field="11" count="1" selected="0">
            <x v="1"/>
          </reference>
        </references>
      </pivotArea>
    </format>
    <format dxfId="996">
      <pivotArea dataOnly="0" labelOnly="1" outline="0" fieldPosition="0">
        <references count="3">
          <reference field="3" count="1" selected="0">
            <x v="6"/>
          </reference>
          <reference field="5" count="1">
            <x v="31"/>
          </reference>
          <reference field="11" count="1" selected="0">
            <x v="1"/>
          </reference>
        </references>
      </pivotArea>
    </format>
    <format dxfId="995">
      <pivotArea dataOnly="0" labelOnly="1" outline="0" fieldPosition="0">
        <references count="3">
          <reference field="3" count="1" selected="0">
            <x v="7"/>
          </reference>
          <reference field="5" count="1">
            <x v="25"/>
          </reference>
          <reference field="11" count="1" selected="0">
            <x v="1"/>
          </reference>
        </references>
      </pivotArea>
    </format>
    <format dxfId="994">
      <pivotArea dataOnly="0" labelOnly="1" outline="0" fieldPosition="0">
        <references count="3">
          <reference field="3" count="1" selected="0">
            <x v="8"/>
          </reference>
          <reference field="5" count="1">
            <x v="44"/>
          </reference>
          <reference field="11" count="1" selected="0">
            <x v="1"/>
          </reference>
        </references>
      </pivotArea>
    </format>
    <format dxfId="993">
      <pivotArea dataOnly="0" labelOnly="1" outline="0" fieldPosition="0">
        <references count="3">
          <reference field="3" count="1" selected="0">
            <x v="9"/>
          </reference>
          <reference field="5" count="1">
            <x v="55"/>
          </reference>
          <reference field="11" count="1" selected="0">
            <x v="1"/>
          </reference>
        </references>
      </pivotArea>
    </format>
    <format dxfId="992">
      <pivotArea dataOnly="0" labelOnly="1" outline="0" fieldPosition="0">
        <references count="3">
          <reference field="3" count="1" selected="0">
            <x v="11"/>
          </reference>
          <reference field="5" count="1">
            <x v="16"/>
          </reference>
          <reference field="11" count="1" selected="0">
            <x v="1"/>
          </reference>
        </references>
      </pivotArea>
    </format>
    <format dxfId="991">
      <pivotArea dataOnly="0" labelOnly="1" outline="0" fieldPosition="0">
        <references count="3">
          <reference field="3" count="1" selected="0">
            <x v="12"/>
          </reference>
          <reference field="5" count="1">
            <x v="34"/>
          </reference>
          <reference field="11" count="1" selected="0">
            <x v="1"/>
          </reference>
        </references>
      </pivotArea>
    </format>
    <format dxfId="990">
      <pivotArea dataOnly="0" labelOnly="1" outline="0" fieldPosition="0">
        <references count="3">
          <reference field="3" count="1" selected="0">
            <x v="15"/>
          </reference>
          <reference field="5" count="1">
            <x v="33"/>
          </reference>
          <reference field="11" count="1" selected="0">
            <x v="1"/>
          </reference>
        </references>
      </pivotArea>
    </format>
    <format dxfId="989">
      <pivotArea dataOnly="0" labelOnly="1" outline="0" fieldPosition="0">
        <references count="3">
          <reference field="3" count="1" selected="0">
            <x v="18"/>
          </reference>
          <reference field="5" count="1">
            <x v="42"/>
          </reference>
          <reference field="11" count="1" selected="0">
            <x v="1"/>
          </reference>
        </references>
      </pivotArea>
    </format>
    <format dxfId="988">
      <pivotArea dataOnly="0" labelOnly="1" outline="0" fieldPosition="0">
        <references count="3">
          <reference field="3" count="1" selected="0">
            <x v="26"/>
          </reference>
          <reference field="5" count="1">
            <x v="55"/>
          </reference>
          <reference field="11" count="1" selected="0">
            <x v="1"/>
          </reference>
        </references>
      </pivotArea>
    </format>
    <format dxfId="987">
      <pivotArea dataOnly="0" labelOnly="1" outline="0" fieldPosition="0">
        <references count="3">
          <reference field="3" count="1" selected="0">
            <x v="29"/>
          </reference>
          <reference field="5" count="1">
            <x v="40"/>
          </reference>
          <reference field="11" count="1" selected="0">
            <x v="1"/>
          </reference>
        </references>
      </pivotArea>
    </format>
    <format dxfId="986">
      <pivotArea dataOnly="0" labelOnly="1" outline="0" fieldPosition="0">
        <references count="3">
          <reference field="3" count="1" selected="0">
            <x v="32"/>
          </reference>
          <reference field="5" count="1">
            <x v="21"/>
          </reference>
          <reference field="11" count="1" selected="0">
            <x v="1"/>
          </reference>
        </references>
      </pivotArea>
    </format>
    <format dxfId="985">
      <pivotArea dataOnly="0" labelOnly="1" outline="0" fieldPosition="0">
        <references count="3">
          <reference field="3" count="1" selected="0">
            <x v="33"/>
          </reference>
          <reference field="5" count="1">
            <x v="17"/>
          </reference>
          <reference field="11" count="1" selected="0">
            <x v="1"/>
          </reference>
        </references>
      </pivotArea>
    </format>
    <format dxfId="984">
      <pivotArea dataOnly="0" labelOnly="1" outline="0" fieldPosition="0">
        <references count="3">
          <reference field="3" count="1" selected="0">
            <x v="39"/>
          </reference>
          <reference field="5" count="1">
            <x v="27"/>
          </reference>
          <reference field="11" count="1" selected="0">
            <x v="1"/>
          </reference>
        </references>
      </pivotArea>
    </format>
    <format dxfId="983">
      <pivotArea dataOnly="0" labelOnly="1" outline="0" fieldPosition="0">
        <references count="3">
          <reference field="3" count="1" selected="0">
            <x v="44"/>
          </reference>
          <reference field="5" count="1">
            <x v="46"/>
          </reference>
          <reference field="11" count="1" selected="0">
            <x v="1"/>
          </reference>
        </references>
      </pivotArea>
    </format>
    <format dxfId="982">
      <pivotArea dataOnly="0" labelOnly="1" outline="0" fieldPosition="0">
        <references count="3">
          <reference field="3" count="1" selected="0">
            <x v="46"/>
          </reference>
          <reference field="5" count="1">
            <x v="41"/>
          </reference>
          <reference field="11" count="1" selected="0">
            <x v="1"/>
          </reference>
        </references>
      </pivotArea>
    </format>
    <format dxfId="981">
      <pivotArea dataOnly="0" labelOnly="1" outline="0" fieldPosition="0">
        <references count="3">
          <reference field="3" count="1" selected="0">
            <x v="47"/>
          </reference>
          <reference field="5" count="1">
            <x v="46"/>
          </reference>
          <reference field="11" count="1" selected="0">
            <x v="1"/>
          </reference>
        </references>
      </pivotArea>
    </format>
    <format dxfId="980">
      <pivotArea dataOnly="0" labelOnly="1" outline="0" fieldPosition="0">
        <references count="3">
          <reference field="3" count="1" selected="0">
            <x v="50"/>
          </reference>
          <reference field="5" count="1">
            <x v="47"/>
          </reference>
          <reference field="11" count="1" selected="0">
            <x v="1"/>
          </reference>
        </references>
      </pivotArea>
    </format>
    <format dxfId="979">
      <pivotArea dataOnly="0" labelOnly="1" outline="0" fieldPosition="0">
        <references count="3">
          <reference field="3" count="1" selected="0">
            <x v="52"/>
          </reference>
          <reference field="5" count="1">
            <x v="32"/>
          </reference>
          <reference field="11" count="1" selected="0">
            <x v="1"/>
          </reference>
        </references>
      </pivotArea>
    </format>
    <format dxfId="978">
      <pivotArea dataOnly="0" labelOnly="1" outline="0" fieldPosition="0">
        <references count="3">
          <reference field="3" count="1" selected="0">
            <x v="53"/>
          </reference>
          <reference field="5" count="1">
            <x v="18"/>
          </reference>
          <reference field="11" count="1" selected="0">
            <x v="1"/>
          </reference>
        </references>
      </pivotArea>
    </format>
    <format dxfId="977">
      <pivotArea dataOnly="0" labelOnly="1" outline="0" fieldPosition="0">
        <references count="3">
          <reference field="3" count="1" selected="0">
            <x v="60"/>
          </reference>
          <reference field="5" count="1">
            <x v="26"/>
          </reference>
          <reference field="11" count="1" selected="0">
            <x v="1"/>
          </reference>
        </references>
      </pivotArea>
    </format>
    <format dxfId="976">
      <pivotArea dataOnly="0" labelOnly="1" outline="0" fieldPosition="0">
        <references count="3">
          <reference field="3" count="1" selected="0">
            <x v="61"/>
          </reference>
          <reference field="5" count="1">
            <x v="53"/>
          </reference>
          <reference field="11" count="1" selected="0">
            <x v="1"/>
          </reference>
        </references>
      </pivotArea>
    </format>
    <format dxfId="975">
      <pivotArea dataOnly="0" labelOnly="1" outline="0" fieldPosition="0">
        <references count="3">
          <reference field="3" count="1" selected="0">
            <x v="62"/>
          </reference>
          <reference field="5" count="1">
            <x v="13"/>
          </reference>
          <reference field="11" count="1" selected="0">
            <x v="1"/>
          </reference>
        </references>
      </pivotArea>
    </format>
    <format dxfId="974">
      <pivotArea dataOnly="0" labelOnly="1" outline="0" fieldPosition="0">
        <references count="3">
          <reference field="3" count="1" selected="0">
            <x v="63"/>
          </reference>
          <reference field="5" count="1">
            <x v="39"/>
          </reference>
          <reference field="11" count="1" selected="0">
            <x v="1"/>
          </reference>
        </references>
      </pivotArea>
    </format>
    <format dxfId="973">
      <pivotArea dataOnly="0" labelOnly="1" outline="0" fieldPosition="0">
        <references count="3">
          <reference field="3" count="1" selected="0">
            <x v="67"/>
          </reference>
          <reference field="5" count="1">
            <x v="42"/>
          </reference>
          <reference field="11" count="1" selected="0">
            <x v="1"/>
          </reference>
        </references>
      </pivotArea>
    </format>
    <format dxfId="972">
      <pivotArea dataOnly="0" labelOnly="1" outline="0" fieldPosition="0">
        <references count="3">
          <reference field="3" count="1" selected="0">
            <x v="69"/>
          </reference>
          <reference field="5" count="1">
            <x v="32"/>
          </reference>
          <reference field="11" count="1" selected="0">
            <x v="1"/>
          </reference>
        </references>
      </pivotArea>
    </format>
    <format dxfId="971">
      <pivotArea dataOnly="0" labelOnly="1" outline="0" fieldPosition="0">
        <references count="3">
          <reference field="3" count="1" selected="0">
            <x v="75"/>
          </reference>
          <reference field="5" count="1">
            <x v="26"/>
          </reference>
          <reference field="11" count="1" selected="0">
            <x v="1"/>
          </reference>
        </references>
      </pivotArea>
    </format>
    <format dxfId="970">
      <pivotArea dataOnly="0" labelOnly="1" outline="0" fieldPosition="0">
        <references count="3">
          <reference field="3" count="1" selected="0">
            <x v="76"/>
          </reference>
          <reference field="5" count="1">
            <x v="36"/>
          </reference>
          <reference field="11" count="1" selected="0">
            <x v="1"/>
          </reference>
        </references>
      </pivotArea>
    </format>
    <format dxfId="969">
      <pivotArea dataOnly="0" labelOnly="1" outline="0" fieldPosition="0">
        <references count="3">
          <reference field="3" count="1" selected="0">
            <x v="77"/>
          </reference>
          <reference field="5" count="1">
            <x v="37"/>
          </reference>
          <reference field="11" count="1" selected="0">
            <x v="1"/>
          </reference>
        </references>
      </pivotArea>
    </format>
    <format dxfId="968">
      <pivotArea dataOnly="0" labelOnly="1" outline="0" fieldPosition="0">
        <references count="3">
          <reference field="3" count="1" selected="0">
            <x v="83"/>
          </reference>
          <reference field="5" count="1">
            <x v="11"/>
          </reference>
          <reference field="11" count="1" selected="0">
            <x v="1"/>
          </reference>
        </references>
      </pivotArea>
    </format>
    <format dxfId="967">
      <pivotArea dataOnly="0" labelOnly="1" outline="0" fieldPosition="0">
        <references count="3">
          <reference field="3" count="1" selected="0">
            <x v="95"/>
          </reference>
          <reference field="5" count="1">
            <x v="24"/>
          </reference>
          <reference field="11" count="1" selected="0">
            <x v="1"/>
          </reference>
        </references>
      </pivotArea>
    </format>
    <format dxfId="966">
      <pivotArea dataOnly="0" labelOnly="1" outline="0" fieldPosition="0">
        <references count="3">
          <reference field="3" count="1" selected="0">
            <x v="97"/>
          </reference>
          <reference field="5" count="1">
            <x v="32"/>
          </reference>
          <reference field="11" count="1" selected="0">
            <x v="1"/>
          </reference>
        </references>
      </pivotArea>
    </format>
    <format dxfId="965">
      <pivotArea dataOnly="0" labelOnly="1" outline="0" fieldPosition="0">
        <references count="3">
          <reference field="3" count="1" selected="0">
            <x v="98"/>
          </reference>
          <reference field="5" count="1">
            <x v="23"/>
          </reference>
          <reference field="11" count="1" selected="0">
            <x v="1"/>
          </reference>
        </references>
      </pivotArea>
    </format>
    <format dxfId="964">
      <pivotArea dataOnly="0" labelOnly="1" outline="0" fieldPosition="0">
        <references count="3">
          <reference field="3" count="1" selected="0">
            <x v="99"/>
          </reference>
          <reference field="5" count="1">
            <x v="18"/>
          </reference>
          <reference field="11" count="1" selected="0">
            <x v="1"/>
          </reference>
        </references>
      </pivotArea>
    </format>
    <format dxfId="963">
      <pivotArea dataOnly="0" labelOnly="1" outline="0" fieldPosition="0">
        <references count="3">
          <reference field="3" count="1" selected="0">
            <x v="103"/>
          </reference>
          <reference field="5" count="1">
            <x v="19"/>
          </reference>
          <reference field="11" count="1" selected="0">
            <x v="1"/>
          </reference>
        </references>
      </pivotArea>
    </format>
    <format dxfId="962">
      <pivotArea dataOnly="0" labelOnly="1" outline="0" fieldPosition="0">
        <references count="3">
          <reference field="3" count="1" selected="0">
            <x v="109"/>
          </reference>
          <reference field="5" count="1">
            <x v="50"/>
          </reference>
          <reference field="11" count="1" selected="0">
            <x v="1"/>
          </reference>
        </references>
      </pivotArea>
    </format>
    <format dxfId="961">
      <pivotArea dataOnly="0" labelOnly="1" outline="0" fieldPosition="0">
        <references count="3">
          <reference field="3" count="1" selected="0">
            <x v="110"/>
          </reference>
          <reference field="5" count="1">
            <x v="33"/>
          </reference>
          <reference field="11" count="1" selected="0">
            <x v="1"/>
          </reference>
        </references>
      </pivotArea>
    </format>
    <format dxfId="960">
      <pivotArea dataOnly="0" labelOnly="1" outline="0" fieldPosition="0">
        <references count="3">
          <reference field="3" count="1" selected="0">
            <x v="111"/>
          </reference>
          <reference field="5" count="1">
            <x v="51"/>
          </reference>
          <reference field="11" count="1" selected="0">
            <x v="1"/>
          </reference>
        </references>
      </pivotArea>
    </format>
    <format dxfId="959">
      <pivotArea dataOnly="0" labelOnly="1" outline="0" fieldPosition="0">
        <references count="3">
          <reference field="3" count="1" selected="0">
            <x v="113"/>
          </reference>
          <reference field="5" count="1">
            <x v="55"/>
          </reference>
          <reference field="11" count="1" selected="0">
            <x v="1"/>
          </reference>
        </references>
      </pivotArea>
    </format>
    <format dxfId="958">
      <pivotArea dataOnly="0" labelOnly="1" outline="0" fieldPosition="0">
        <references count="3">
          <reference field="3" count="1" selected="0">
            <x v="115"/>
          </reference>
          <reference field="5" count="1">
            <x v="28"/>
          </reference>
          <reference field="11" count="1" selected="0">
            <x v="1"/>
          </reference>
        </references>
      </pivotArea>
    </format>
    <format dxfId="957">
      <pivotArea dataOnly="0" labelOnly="1" outline="0" fieldPosition="0">
        <references count="3">
          <reference field="3" count="1" selected="0">
            <x v="117"/>
          </reference>
          <reference field="5" count="1">
            <x v="15"/>
          </reference>
          <reference field="11" count="1" selected="0">
            <x v="1"/>
          </reference>
        </references>
      </pivotArea>
    </format>
    <format dxfId="956">
      <pivotArea dataOnly="0" labelOnly="1" outline="0" fieldPosition="0">
        <references count="3">
          <reference field="3" count="1" selected="0">
            <x v="119"/>
          </reference>
          <reference field="5" count="1">
            <x v="24"/>
          </reference>
          <reference field="11" count="1" selected="0">
            <x v="1"/>
          </reference>
        </references>
      </pivotArea>
    </format>
    <format dxfId="955">
      <pivotArea dataOnly="0" labelOnly="1" outline="0" fieldPosition="0">
        <references count="3">
          <reference field="3" count="1" selected="0">
            <x v="125"/>
          </reference>
          <reference field="5" count="1">
            <x v="49"/>
          </reference>
          <reference field="11" count="1" selected="0">
            <x v="1"/>
          </reference>
        </references>
      </pivotArea>
    </format>
    <format dxfId="954">
      <pivotArea dataOnly="0" labelOnly="1" outline="0" fieldPosition="0">
        <references count="3">
          <reference field="3" count="1" selected="0">
            <x v="127"/>
          </reference>
          <reference field="5" count="1">
            <x v="40"/>
          </reference>
          <reference field="11" count="1" selected="0">
            <x v="1"/>
          </reference>
        </references>
      </pivotArea>
    </format>
    <format dxfId="953">
      <pivotArea dataOnly="0" labelOnly="1" outline="0" fieldPosition="0">
        <references count="3">
          <reference field="3" count="1" selected="0">
            <x v="129"/>
          </reference>
          <reference field="5" count="1">
            <x v="53"/>
          </reference>
          <reference field="11" count="1" selected="0">
            <x v="1"/>
          </reference>
        </references>
      </pivotArea>
    </format>
    <format dxfId="952">
      <pivotArea dataOnly="0" labelOnly="1" outline="0" fieldPosition="0">
        <references count="3">
          <reference field="3" count="1" selected="0">
            <x v="130"/>
          </reference>
          <reference field="5" count="1">
            <x v="54"/>
          </reference>
          <reference field="11" count="1" selected="0">
            <x v="1"/>
          </reference>
        </references>
      </pivotArea>
    </format>
    <format dxfId="951">
      <pivotArea dataOnly="0" labelOnly="1" outline="0" fieldPosition="0">
        <references count="3">
          <reference field="3" count="1" selected="0">
            <x v="131"/>
          </reference>
          <reference field="5" count="1">
            <x v="29"/>
          </reference>
          <reference field="11" count="1" selected="0">
            <x v="1"/>
          </reference>
        </references>
      </pivotArea>
    </format>
    <format dxfId="950">
      <pivotArea dataOnly="0" labelOnly="1" outline="0" fieldPosition="0">
        <references count="3">
          <reference field="3" count="1" selected="0">
            <x v="133"/>
          </reference>
          <reference field="5" count="1">
            <x v="34"/>
          </reference>
          <reference field="11" count="1" selected="0">
            <x v="1"/>
          </reference>
        </references>
      </pivotArea>
    </format>
    <format dxfId="949">
      <pivotArea dataOnly="0" labelOnly="1" outline="0" fieldPosition="0">
        <references count="3">
          <reference field="3" count="1" selected="0">
            <x v="135"/>
          </reference>
          <reference field="5" count="1">
            <x v="37"/>
          </reference>
          <reference field="11" count="1" selected="0">
            <x v="1"/>
          </reference>
        </references>
      </pivotArea>
    </format>
    <format dxfId="948">
      <pivotArea dataOnly="0" labelOnly="1" outline="0" fieldPosition="0">
        <references count="3">
          <reference field="3" count="1" selected="0">
            <x v="137"/>
          </reference>
          <reference field="5" count="1">
            <x v="22"/>
          </reference>
          <reference field="11" count="1" selected="0">
            <x v="1"/>
          </reference>
        </references>
      </pivotArea>
    </format>
    <format dxfId="947">
      <pivotArea dataOnly="0" labelOnly="1" outline="0" fieldPosition="0">
        <references count="3">
          <reference field="3" count="1" selected="0">
            <x v="139"/>
          </reference>
          <reference field="5" count="1">
            <x v="14"/>
          </reference>
          <reference field="11" count="1" selected="0">
            <x v="1"/>
          </reference>
        </references>
      </pivotArea>
    </format>
    <format dxfId="946">
      <pivotArea dataOnly="0" labelOnly="1" outline="0" fieldPosition="0">
        <references count="3">
          <reference field="3" count="1" selected="0">
            <x v="141"/>
          </reference>
          <reference field="5" count="1">
            <x v="35"/>
          </reference>
          <reference field="11" count="1" selected="0">
            <x v="1"/>
          </reference>
        </references>
      </pivotArea>
    </format>
    <format dxfId="945">
      <pivotArea dataOnly="0" labelOnly="1" outline="0" fieldPosition="0">
        <references count="3">
          <reference field="3" count="1" selected="0">
            <x v="146"/>
          </reference>
          <reference field="5" count="1">
            <x v="50"/>
          </reference>
          <reference field="11" count="1" selected="0">
            <x v="1"/>
          </reference>
        </references>
      </pivotArea>
    </format>
    <format dxfId="944">
      <pivotArea dataOnly="0" labelOnly="1" outline="0" fieldPosition="0">
        <references count="3">
          <reference field="3" count="1" selected="0">
            <x v="147"/>
          </reference>
          <reference field="5" count="1">
            <x v="52"/>
          </reference>
          <reference field="11" count="1" selected="0">
            <x v="1"/>
          </reference>
        </references>
      </pivotArea>
    </format>
    <format dxfId="943">
      <pivotArea dataOnly="0" labelOnly="1" outline="0" fieldPosition="0">
        <references count="3">
          <reference field="3" count="1" selected="0">
            <x v="148"/>
          </reference>
          <reference field="5" count="1">
            <x v="55"/>
          </reference>
          <reference field="11" count="1" selected="0">
            <x v="1"/>
          </reference>
        </references>
      </pivotArea>
    </format>
    <format dxfId="942">
      <pivotArea dataOnly="0" labelOnly="1" outline="0" fieldPosition="0">
        <references count="3">
          <reference field="3" count="1" selected="0">
            <x v="151"/>
          </reference>
          <reference field="5" count="1">
            <x v="36"/>
          </reference>
          <reference field="11" count="1" selected="0">
            <x v="1"/>
          </reference>
        </references>
      </pivotArea>
    </format>
    <format dxfId="941">
      <pivotArea dataOnly="0" labelOnly="1" outline="0" fieldPosition="0">
        <references count="3">
          <reference field="3" count="1" selected="0">
            <x v="156"/>
          </reference>
          <reference field="5" count="1">
            <x v="48"/>
          </reference>
          <reference field="11" count="1" selected="0">
            <x v="1"/>
          </reference>
        </references>
      </pivotArea>
    </format>
    <format dxfId="940">
      <pivotArea dataOnly="0" labelOnly="1" outline="0" fieldPosition="0">
        <references count="3">
          <reference field="3" count="1" selected="0">
            <x v="159"/>
          </reference>
          <reference field="5" count="1">
            <x v="31"/>
          </reference>
          <reference field="11" count="1" selected="0">
            <x v="1"/>
          </reference>
        </references>
      </pivotArea>
    </format>
    <format dxfId="939">
      <pivotArea dataOnly="0" labelOnly="1" outline="0" fieldPosition="0">
        <references count="3">
          <reference field="3" count="1" selected="0">
            <x v="166"/>
          </reference>
          <reference field="5" count="1">
            <x v="20"/>
          </reference>
          <reference field="11" count="1" selected="0">
            <x v="1"/>
          </reference>
        </references>
      </pivotArea>
    </format>
    <format dxfId="938">
      <pivotArea dataOnly="0" labelOnly="1" outline="0" fieldPosition="0">
        <references count="3">
          <reference field="3" count="1" selected="0">
            <x v="168"/>
          </reference>
          <reference field="5" count="1">
            <x v="45"/>
          </reference>
          <reference field="11" count="1" selected="0">
            <x v="1"/>
          </reference>
        </references>
      </pivotArea>
    </format>
    <format dxfId="937">
      <pivotArea dataOnly="0" labelOnly="1" outline="0" fieldPosition="0">
        <references count="3">
          <reference field="3" count="1" selected="0">
            <x v="170"/>
          </reference>
          <reference field="5" count="1">
            <x v="23"/>
          </reference>
          <reference field="11" count="1" selected="0">
            <x v="1"/>
          </reference>
        </references>
      </pivotArea>
    </format>
    <format dxfId="936">
      <pivotArea dataOnly="0" labelOnly="1" outline="0" fieldPosition="0">
        <references count="3">
          <reference field="3" count="1" selected="0">
            <x v="172"/>
          </reference>
          <reference field="5" count="1">
            <x v="48"/>
          </reference>
          <reference field="11" count="1" selected="0">
            <x v="1"/>
          </reference>
        </references>
      </pivotArea>
    </format>
    <format dxfId="935">
      <pivotArea dataOnly="0" labelOnly="1" outline="0" fieldPosition="0">
        <references count="3">
          <reference field="3" count="1" selected="0">
            <x v="173"/>
          </reference>
          <reference field="5" count="1">
            <x v="30"/>
          </reference>
          <reference field="11" count="1" selected="0">
            <x v="1"/>
          </reference>
        </references>
      </pivotArea>
    </format>
    <format dxfId="934">
      <pivotArea dataOnly="0" labelOnly="1" outline="0" fieldPosition="0">
        <references count="3">
          <reference field="3" count="1" selected="0">
            <x v="177"/>
          </reference>
          <reference field="5" count="1">
            <x v="43"/>
          </reference>
          <reference field="11" count="1" selected="0">
            <x v="1"/>
          </reference>
        </references>
      </pivotArea>
    </format>
    <format dxfId="933">
      <pivotArea dataOnly="0" labelOnly="1" outline="0" fieldPosition="0">
        <references count="3">
          <reference field="3" count="1" selected="0">
            <x v="179"/>
          </reference>
          <reference field="5" count="1">
            <x v="38"/>
          </reference>
          <reference field="11" count="1" selected="0">
            <x v="1"/>
          </reference>
        </references>
      </pivotArea>
    </format>
    <format dxfId="932">
      <pivotArea dataOnly="0" labelOnly="1" outline="0" fieldPosition="0">
        <references count="3">
          <reference field="3" count="1" selected="0">
            <x v="181"/>
          </reference>
          <reference field="5" count="1">
            <x v="12"/>
          </reference>
          <reference field="11" count="1" selected="0">
            <x v="1"/>
          </reference>
        </references>
      </pivotArea>
    </format>
    <format dxfId="931">
      <pivotArea dataOnly="0" labelOnly="1" outline="0" fieldPosition="0">
        <references count="3">
          <reference field="3" count="1" selected="0">
            <x v="185"/>
          </reference>
          <reference field="5" count="1">
            <x v="36"/>
          </reference>
          <reference field="11" count="1" selected="0">
            <x v="1"/>
          </reference>
        </references>
      </pivotArea>
    </format>
    <format dxfId="930">
      <pivotArea dataOnly="0" labelOnly="1" outline="0" fieldPosition="0">
        <references count="3">
          <reference field="3" count="1" selected="0">
            <x v="1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929">
      <pivotArea dataOnly="0" labelOnly="1" outline="0" fieldPosition="0">
        <references count="3">
          <reference field="3" count="1" selected="0">
            <x v="14"/>
          </reference>
          <reference field="5" count="1">
            <x v="9"/>
          </reference>
          <reference field="11" count="1" selected="0">
            <x v="2"/>
          </reference>
        </references>
      </pivotArea>
    </format>
    <format dxfId="928">
      <pivotArea dataOnly="0" labelOnly="1" outline="0" fieldPosition="0">
        <references count="3">
          <reference field="3" count="1" selected="0">
            <x v="17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927">
      <pivotArea dataOnly="0" labelOnly="1" outline="0" fieldPosition="0">
        <references count="3">
          <reference field="3" count="1" selected="0">
            <x v="19"/>
          </reference>
          <reference field="5" count="1">
            <x v="1"/>
          </reference>
          <reference field="11" count="1" selected="0">
            <x v="2"/>
          </reference>
        </references>
      </pivotArea>
    </format>
    <format dxfId="926">
      <pivotArea dataOnly="0" labelOnly="1" outline="0" fieldPosition="0">
        <references count="3">
          <reference field="3" count="1" selected="0">
            <x v="21"/>
          </reference>
          <reference field="5" count="1">
            <x v="8"/>
          </reference>
          <reference field="11" count="1" selected="0">
            <x v="2"/>
          </reference>
        </references>
      </pivotArea>
    </format>
    <format dxfId="925">
      <pivotArea dataOnly="0" labelOnly="1" outline="0" fieldPosition="0">
        <references count="3">
          <reference field="3" count="1" selected="0">
            <x v="40"/>
          </reference>
          <reference field="5" count="1">
            <x v="6"/>
          </reference>
          <reference field="11" count="1" selected="0">
            <x v="2"/>
          </reference>
        </references>
      </pivotArea>
    </format>
    <format dxfId="924">
      <pivotArea dataOnly="0" labelOnly="1" outline="0" fieldPosition="0">
        <references count="3">
          <reference field="3" count="1" selected="0">
            <x v="43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923">
      <pivotArea dataOnly="0" labelOnly="1" outline="0" fieldPosition="0">
        <references count="3">
          <reference field="3" count="1" selected="0">
            <x v="51"/>
          </reference>
          <reference field="5" count="1">
            <x v="2"/>
          </reference>
          <reference field="11" count="1" selected="0">
            <x v="2"/>
          </reference>
        </references>
      </pivotArea>
    </format>
    <format dxfId="922">
      <pivotArea dataOnly="0" labelOnly="1" outline="0" fieldPosition="0">
        <references count="3">
          <reference field="3" count="1" selected="0">
            <x v="56"/>
          </reference>
          <reference field="5" count="1">
            <x v="10"/>
          </reference>
          <reference field="11" count="1" selected="0">
            <x v="2"/>
          </reference>
        </references>
      </pivotArea>
    </format>
    <format dxfId="921">
      <pivotArea dataOnly="0" labelOnly="1" outline="0" fieldPosition="0">
        <references count="3">
          <reference field="3" count="1" selected="0">
            <x v="57"/>
          </reference>
          <reference field="5" count="1">
            <x v="7"/>
          </reference>
          <reference field="11" count="1" selected="0">
            <x v="2"/>
          </reference>
        </references>
      </pivotArea>
    </format>
    <format dxfId="920">
      <pivotArea dataOnly="0" labelOnly="1" outline="0" fieldPosition="0">
        <references count="3">
          <reference field="3" count="1" selected="0">
            <x v="70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919">
      <pivotArea dataOnly="0" labelOnly="1" outline="0" fieldPosition="0">
        <references count="3">
          <reference field="3" count="1" selected="0">
            <x v="72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918">
      <pivotArea dataOnly="0" labelOnly="1" outline="0" fieldPosition="0">
        <references count="3">
          <reference field="3" count="1" selected="0">
            <x v="74"/>
          </reference>
          <reference field="5" count="1">
            <x v="3"/>
          </reference>
          <reference field="11" count="1" selected="0">
            <x v="2"/>
          </reference>
        </references>
      </pivotArea>
    </format>
    <format dxfId="917">
      <pivotArea dataOnly="0" labelOnly="1" outline="0" fieldPosition="0">
        <references count="3">
          <reference field="3" count="1" selected="0">
            <x v="79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916">
      <pivotArea dataOnly="0" labelOnly="1" outline="0" fieldPosition="0">
        <references count="3">
          <reference field="3" count="1" selected="0">
            <x v="104"/>
          </reference>
          <reference field="5" count="1">
            <x v="9"/>
          </reference>
          <reference field="11" count="1" selected="0">
            <x v="2"/>
          </reference>
        </references>
      </pivotArea>
    </format>
    <format dxfId="915">
      <pivotArea dataOnly="0" labelOnly="1" outline="0" fieldPosition="0">
        <references count="3">
          <reference field="3" count="1" selected="0">
            <x v="105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914">
      <pivotArea dataOnly="0" labelOnly="1" outline="0" fieldPosition="0">
        <references count="3">
          <reference field="3" count="1" selected="0">
            <x v="108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913">
      <pivotArea dataOnly="0" labelOnly="1" outline="0" fieldPosition="0">
        <references count="3">
          <reference field="3" count="1" selected="0">
            <x v="134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912">
      <pivotArea dataOnly="0" labelOnly="1" outline="0" fieldPosition="0">
        <references count="3">
          <reference field="3" count="1" selected="0">
            <x v="149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911">
      <pivotArea dataOnly="0" labelOnly="1" outline="0" fieldPosition="0">
        <references count="3">
          <reference field="3" count="1" selected="0">
            <x v="171"/>
          </reference>
          <reference field="5" count="1">
            <x v="5"/>
          </reference>
          <reference field="11" count="1" selected="0">
            <x v="2"/>
          </reference>
        </references>
      </pivotArea>
    </format>
    <format dxfId="910">
      <pivotArea dataOnly="0" labelOnly="1" outline="0" fieldPosition="0">
        <references count="3">
          <reference field="3" count="1" selected="0">
            <x v="180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909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58"/>
          </reference>
          <reference field="10" count="1">
            <x v="19"/>
          </reference>
          <reference field="11" count="1" selected="0">
            <x v="0"/>
          </reference>
        </references>
      </pivotArea>
    </format>
    <format dxfId="90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59"/>
          </reference>
          <reference field="10" count="1">
            <x v="18"/>
          </reference>
          <reference field="11" count="1" selected="0">
            <x v="0"/>
          </reference>
        </references>
      </pivotArea>
    </format>
    <format dxfId="90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70"/>
          </reference>
          <reference field="10" count="1">
            <x v="14"/>
          </reference>
          <reference field="11" count="1" selected="0">
            <x v="0"/>
          </reference>
        </references>
      </pivotArea>
    </format>
    <format dxfId="906">
      <pivotArea dataOnly="0" labelOnly="1" outline="0" fieldPosition="0">
        <references count="4">
          <reference field="3" count="1" selected="0">
            <x v="13"/>
          </reference>
          <reference field="5" count="1" selected="0">
            <x v="83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905">
      <pivotArea dataOnly="0" labelOnly="1" outline="0" fieldPosition="0">
        <references count="4">
          <reference field="3" count="1" selected="0">
            <x v="16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904">
      <pivotArea dataOnly="0" labelOnly="1" outline="0" fieldPosition="0">
        <references count="4">
          <reference field="3" count="1" selected="0">
            <x v="20"/>
          </reference>
          <reference field="5" count="1" selected="0">
            <x v="72"/>
          </reference>
          <reference field="10" count="1">
            <x v="13"/>
          </reference>
          <reference field="11" count="1" selected="0">
            <x v="0"/>
          </reference>
        </references>
      </pivotArea>
    </format>
    <format dxfId="903">
      <pivotArea dataOnly="0" labelOnly="1" outline="0" fieldPosition="0">
        <references count="4">
          <reference field="3" count="1" selected="0">
            <x v="22"/>
          </reference>
          <reference field="5" count="1" selected="0">
            <x v="67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902">
      <pivotArea dataOnly="0" labelOnly="1" outline="0" fieldPosition="0">
        <references count="4">
          <reference field="3" count="1" selected="0">
            <x v="23"/>
          </reference>
          <reference field="5" count="1" selected="0">
            <x v="93"/>
          </reference>
          <reference field="10" count="1">
            <x v="3"/>
          </reference>
          <reference field="11" count="1" selected="0">
            <x v="0"/>
          </reference>
        </references>
      </pivotArea>
    </format>
    <format dxfId="901">
      <pivotArea dataOnly="0" labelOnly="1" outline="0" fieldPosition="0">
        <references count="4">
          <reference field="3" count="1" selected="0">
            <x v="24"/>
          </reference>
          <reference field="5" count="1" selected="0">
            <x v="82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900">
      <pivotArea dataOnly="0" labelOnly="1" outline="0" fieldPosition="0">
        <references count="4">
          <reference field="3" count="1" selected="0">
            <x v="25"/>
          </reference>
          <reference field="5" count="1" selected="0">
            <x v="67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899">
      <pivotArea dataOnly="0" labelOnly="1" outline="0" fieldPosition="0">
        <references count="4">
          <reference field="3" count="1" selected="0">
            <x v="27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898">
      <pivotArea dataOnly="0" labelOnly="1" outline="0" fieldPosition="0">
        <references count="4">
          <reference field="3" count="1" selected="0">
            <x v="28"/>
          </reference>
          <reference field="5" count="1" selected="0">
            <x v="56"/>
          </reference>
          <reference field="10" count="1">
            <x v="20"/>
          </reference>
          <reference field="11" count="1" selected="0">
            <x v="0"/>
          </reference>
        </references>
      </pivotArea>
    </format>
    <format dxfId="897">
      <pivotArea dataOnly="0" labelOnly="1" outline="0" fieldPosition="0">
        <references count="4">
          <reference field="3" count="1" selected="0">
            <x v="30"/>
          </reference>
          <reference field="5" count="1" selected="0">
            <x v="105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896">
      <pivotArea dataOnly="0" labelOnly="1" outline="0" fieldPosition="0">
        <references count="4">
          <reference field="3" count="1" selected="0">
            <x v="31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895">
      <pivotArea dataOnly="0" labelOnly="1" outline="0" fieldPosition="0">
        <references count="4">
          <reference field="3" count="1" selected="0">
            <x v="34"/>
          </reference>
          <reference field="5" count="1" selected="0">
            <x v="85"/>
          </reference>
          <reference field="10" count="1">
            <x v="6"/>
          </reference>
          <reference field="11" count="1" selected="0">
            <x v="0"/>
          </reference>
        </references>
      </pivotArea>
    </format>
    <format dxfId="894">
      <pivotArea dataOnly="0" labelOnly="1" outline="0" fieldPosition="0">
        <references count="4">
          <reference field="3" count="1" selected="0">
            <x v="35"/>
          </reference>
          <reference field="5" count="1" selected="0">
            <x v="64"/>
          </reference>
          <reference field="10" count="1">
            <x v="16"/>
          </reference>
          <reference field="11" count="1" selected="0">
            <x v="0"/>
          </reference>
        </references>
      </pivotArea>
    </format>
    <format dxfId="893">
      <pivotArea dataOnly="0" labelOnly="1" outline="0" fieldPosition="0">
        <references count="4">
          <reference field="3" count="1" selected="0">
            <x v="36"/>
          </reference>
          <reference field="5" count="1" selected="0">
            <x v="69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892">
      <pivotArea dataOnly="0" labelOnly="1" outline="0" fieldPosition="0">
        <references count="4">
          <reference field="3" count="1" selected="0">
            <x v="37"/>
          </reference>
          <reference field="5" count="1" selected="0">
            <x v="90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891">
      <pivotArea dataOnly="0" labelOnly="1" outline="0" fieldPosition="0">
        <references count="4">
          <reference field="3" count="1" selected="0">
            <x v="38"/>
          </reference>
          <reference field="5" count="1" selected="0">
            <x v="92"/>
          </reference>
          <reference field="10" count="1">
            <x v="4"/>
          </reference>
          <reference field="11" count="1" selected="0">
            <x v="0"/>
          </reference>
        </references>
      </pivotArea>
    </format>
    <format dxfId="890">
      <pivotArea dataOnly="0" labelOnly="1" outline="0" fieldPosition="0">
        <references count="4">
          <reference field="3" count="1" selected="0">
            <x v="41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889">
      <pivotArea dataOnly="0" labelOnly="1" outline="0" fieldPosition="0">
        <references count="4">
          <reference field="3" count="1" selected="0">
            <x v="42"/>
          </reference>
          <reference field="5" count="1" selected="0">
            <x v="103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888">
      <pivotArea dataOnly="0" labelOnly="1" outline="0" fieldPosition="0">
        <references count="4">
          <reference field="3" count="1" selected="0">
            <x v="45"/>
          </reference>
          <reference field="5" count="1" selected="0">
            <x v="98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887">
      <pivotArea dataOnly="0" labelOnly="1" outline="0" fieldPosition="0">
        <references count="4">
          <reference field="3" count="1" selected="0">
            <x v="48"/>
          </reference>
          <reference field="5" count="1" selected="0">
            <x v="80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86">
      <pivotArea dataOnly="0" labelOnly="1" outline="0" fieldPosition="0">
        <references count="4">
          <reference field="3" count="1" selected="0">
            <x v="54"/>
          </reference>
          <reference field="5" count="1" selected="0">
            <x v="74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885">
      <pivotArea dataOnly="0" labelOnly="1" outline="0" fieldPosition="0">
        <references count="4">
          <reference field="3" count="1" selected="0">
            <x v="55"/>
          </reference>
          <reference field="5" count="1" selected="0">
            <x v="96"/>
          </reference>
          <reference field="10" count="1">
            <x v="3"/>
          </reference>
          <reference field="11" count="1" selected="0">
            <x v="0"/>
          </reference>
        </references>
      </pivotArea>
    </format>
    <format dxfId="884">
      <pivotArea dataOnly="0" labelOnly="1" outline="0" fieldPosition="0">
        <references count="4">
          <reference field="3" count="1" selected="0">
            <x v="58"/>
          </reference>
          <reference field="5" count="1" selected="0">
            <x v="104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883">
      <pivotArea dataOnly="0" labelOnly="1" outline="0" fieldPosition="0">
        <references count="4">
          <reference field="3" count="1" selected="0">
            <x v="59"/>
          </reference>
          <reference field="5" count="1" selected="0">
            <x v="67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882">
      <pivotArea dataOnly="0" labelOnly="1" outline="0" fieldPosition="0">
        <references count="4">
          <reference field="3" count="1" selected="0">
            <x v="64"/>
          </reference>
          <reference field="5" count="1" selected="0">
            <x v="84"/>
          </reference>
          <reference field="10" count="1">
            <x v="7"/>
          </reference>
          <reference field="11" count="1" selected="0">
            <x v="0"/>
          </reference>
        </references>
      </pivotArea>
    </format>
    <format dxfId="881">
      <pivotArea dataOnly="0" labelOnly="1" outline="0" fieldPosition="0">
        <references count="4">
          <reference field="3" count="1" selected="0">
            <x v="65"/>
          </reference>
          <reference field="5" count="1" selected="0">
            <x v="94"/>
          </reference>
          <reference field="10" count="1">
            <x v="3"/>
          </reference>
          <reference field="11" count="1" selected="0">
            <x v="0"/>
          </reference>
        </references>
      </pivotArea>
    </format>
    <format dxfId="880">
      <pivotArea dataOnly="0" labelOnly="1" outline="0" fieldPosition="0">
        <references count="4">
          <reference field="3" count="1" selected="0">
            <x v="66"/>
          </reference>
          <reference field="5" count="1" selected="0">
            <x v="84"/>
          </reference>
          <reference field="10" count="1">
            <x v="7"/>
          </reference>
          <reference field="11" count="1" selected="0">
            <x v="0"/>
          </reference>
        </references>
      </pivotArea>
    </format>
    <format dxfId="879">
      <pivotArea dataOnly="0" labelOnly="1" outline="0" fieldPosition="0">
        <references count="4">
          <reference field="3" count="1" selected="0">
            <x v="71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878">
      <pivotArea dataOnly="0" labelOnly="1" outline="0" fieldPosition="0">
        <references count="4">
          <reference field="3" count="1" selected="0">
            <x v="73"/>
          </reference>
          <reference field="5" count="1" selected="0">
            <x v="61"/>
          </reference>
          <reference field="10" count="1">
            <x v="17"/>
          </reference>
          <reference field="11" count="1" selected="0">
            <x v="0"/>
          </reference>
        </references>
      </pivotArea>
    </format>
    <format dxfId="877">
      <pivotArea dataOnly="0" labelOnly="1" outline="0" fieldPosition="0">
        <references count="4">
          <reference field="3" count="1" selected="0">
            <x v="78"/>
          </reference>
          <reference field="5" count="1" selected="0">
            <x v="57"/>
          </reference>
          <reference field="10" count="1">
            <x v="20"/>
          </reference>
          <reference field="11" count="1" selected="0">
            <x v="0"/>
          </reference>
        </references>
      </pivotArea>
    </format>
    <format dxfId="876">
      <pivotArea dataOnly="0" labelOnly="1" outline="0" fieldPosition="0">
        <references count="4">
          <reference field="3" count="1" selected="0">
            <x v="80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875">
      <pivotArea dataOnly="0" labelOnly="1" outline="0" fieldPosition="0">
        <references count="4">
          <reference field="3" count="1" selected="0">
            <x v="81"/>
          </reference>
          <reference field="5" count="1" selected="0">
            <x v="89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874">
      <pivotArea dataOnly="0" labelOnly="1" outline="0" fieldPosition="0">
        <references count="4">
          <reference field="3" count="1" selected="0">
            <x v="82"/>
          </reference>
          <reference field="5" count="1" selected="0">
            <x v="103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873">
      <pivotArea dataOnly="0" labelOnly="1" outline="0" fieldPosition="0">
        <references count="4">
          <reference field="3" count="1" selected="0">
            <x v="84"/>
          </reference>
          <reference field="5" count="1" selected="0">
            <x v="91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872">
      <pivotArea dataOnly="0" labelOnly="1" outline="0" fieldPosition="0">
        <references count="4">
          <reference field="3" count="1" selected="0">
            <x v="86"/>
          </reference>
          <reference field="5" count="1" selected="0">
            <x v="67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871">
      <pivotArea dataOnly="0" labelOnly="1" outline="0" fieldPosition="0">
        <references count="4">
          <reference field="3" count="1" selected="0">
            <x v="87"/>
          </reference>
          <reference field="5" count="1" selected="0">
            <x v="84"/>
          </reference>
          <reference field="10" count="1">
            <x v="7"/>
          </reference>
          <reference field="11" count="1" selected="0">
            <x v="0"/>
          </reference>
        </references>
      </pivotArea>
    </format>
    <format dxfId="870">
      <pivotArea dataOnly="0" labelOnly="1" outline="0" fieldPosition="0">
        <references count="4">
          <reference field="3" count="1" selected="0">
            <x v="88"/>
          </reference>
          <reference field="5" count="1" selected="0">
            <x v="87"/>
          </reference>
          <reference field="10" count="1">
            <x v="6"/>
          </reference>
          <reference field="11" count="1" selected="0">
            <x v="0"/>
          </reference>
        </references>
      </pivotArea>
    </format>
    <format dxfId="869">
      <pivotArea dataOnly="0" labelOnly="1" outline="0" fieldPosition="0">
        <references count="4">
          <reference field="3" count="1" selected="0">
            <x v="90"/>
          </reference>
          <reference field="5" count="1" selected="0">
            <x v="78"/>
          </reference>
          <reference field="10" count="1">
            <x v="10"/>
          </reference>
          <reference field="11" count="1" selected="0">
            <x v="0"/>
          </reference>
        </references>
      </pivotArea>
    </format>
    <format dxfId="868">
      <pivotArea dataOnly="0" labelOnly="1" outline="0" fieldPosition="0">
        <references count="4">
          <reference field="3" count="1" selected="0">
            <x v="91"/>
          </reference>
          <reference field="5" count="1" selected="0">
            <x v="81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67">
      <pivotArea dataOnly="0" labelOnly="1" outline="0" fieldPosition="0">
        <references count="4">
          <reference field="3" count="1" selected="0">
            <x v="92"/>
          </reference>
          <reference field="5" count="1" selected="0">
            <x v="60"/>
          </reference>
          <reference field="10" count="1">
            <x v="18"/>
          </reference>
          <reference field="11" count="1" selected="0">
            <x v="0"/>
          </reference>
        </references>
      </pivotArea>
    </format>
    <format dxfId="866">
      <pivotArea dataOnly="0" labelOnly="1" outline="0" fieldPosition="0">
        <references count="4">
          <reference field="3" count="1" selected="0">
            <x v="93"/>
          </reference>
          <reference field="5" count="1" selected="0">
            <x v="102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865">
      <pivotArea dataOnly="0" labelOnly="1" outline="0" fieldPosition="0">
        <references count="4">
          <reference field="3" count="1" selected="0">
            <x v="94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864">
      <pivotArea dataOnly="0" labelOnly="1" outline="0" fieldPosition="0">
        <references count="4">
          <reference field="3" count="1" selected="0">
            <x v="96"/>
          </reference>
          <reference field="5" count="1" selected="0">
            <x v="106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863">
      <pivotArea dataOnly="0" labelOnly="1" outline="0" fieldPosition="0">
        <references count="4">
          <reference field="3" count="1" selected="0">
            <x v="100"/>
          </reference>
          <reference field="5" count="1" selected="0">
            <x v="82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62">
      <pivotArea dataOnly="0" labelOnly="1" outline="0" fieldPosition="0">
        <references count="4">
          <reference field="3" count="1" selected="0">
            <x v="101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861">
      <pivotArea dataOnly="0" labelOnly="1" outline="0" fieldPosition="0">
        <references count="4">
          <reference field="3" count="1" selected="0">
            <x v="102"/>
          </reference>
          <reference field="5" count="1" selected="0">
            <x v="76"/>
          </reference>
          <reference field="10" count="1">
            <x v="11"/>
          </reference>
          <reference field="11" count="1" selected="0">
            <x v="0"/>
          </reference>
        </references>
      </pivotArea>
    </format>
    <format dxfId="860">
      <pivotArea dataOnly="0" labelOnly="1" outline="0" fieldPosition="0">
        <references count="4">
          <reference field="3" count="1" selected="0">
            <x v="106"/>
          </reference>
          <reference field="5" count="1" selected="0">
            <x v="97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859">
      <pivotArea dataOnly="0" labelOnly="1" outline="0" fieldPosition="0">
        <references count="4">
          <reference field="3" count="1" selected="0">
            <x v="112"/>
          </reference>
          <reference field="5" count="1" selected="0">
            <x v="105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858">
      <pivotArea dataOnly="0" labelOnly="1" outline="0" fieldPosition="0">
        <references count="4">
          <reference field="3" count="1" selected="0">
            <x v="114"/>
          </reference>
          <reference field="5" count="1" selected="0">
            <x v="98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857">
      <pivotArea dataOnly="0" labelOnly="1" outline="0" fieldPosition="0">
        <references count="4">
          <reference field="3" count="1" selected="0">
            <x v="116"/>
          </reference>
          <reference field="5" count="1" selected="0">
            <x v="103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856">
      <pivotArea dataOnly="0" labelOnly="1" outline="0" fieldPosition="0">
        <references count="4">
          <reference field="3" count="1" selected="0">
            <x v="118"/>
          </reference>
          <reference field="5" count="1" selected="0">
            <x v="80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55">
      <pivotArea dataOnly="0" labelOnly="1" outline="0" fieldPosition="0">
        <references count="4">
          <reference field="3" count="1" selected="0">
            <x v="120"/>
          </reference>
          <reference field="5" count="1" selected="0">
            <x v="65"/>
          </reference>
          <reference field="10" count="1">
            <x v="16"/>
          </reference>
          <reference field="11" count="1" selected="0">
            <x v="0"/>
          </reference>
        </references>
      </pivotArea>
    </format>
    <format dxfId="854">
      <pivotArea dataOnly="0" labelOnly="1" outline="0" fieldPosition="0">
        <references count="4">
          <reference field="3" count="1" selected="0">
            <x v="121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853">
      <pivotArea dataOnly="0" labelOnly="1" outline="0" fieldPosition="0">
        <references count="4">
          <reference field="3" count="1" selected="0">
            <x v="122"/>
          </reference>
          <reference field="5" count="1" selected="0">
            <x v="98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852">
      <pivotArea dataOnly="0" labelOnly="1" outline="0" fieldPosition="0">
        <references count="4">
          <reference field="3" count="1" selected="0">
            <x v="123"/>
          </reference>
          <reference field="5" count="1" selected="0">
            <x v="69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851">
      <pivotArea dataOnly="0" labelOnly="1" outline="0" fieldPosition="0">
        <references count="4">
          <reference field="3" count="1" selected="0">
            <x v="124"/>
          </reference>
          <reference field="5" count="1" selected="0">
            <x v="102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850">
      <pivotArea dataOnly="0" labelOnly="1" outline="0" fieldPosition="0">
        <references count="4">
          <reference field="3" count="1" selected="0">
            <x v="126"/>
          </reference>
          <reference field="5" count="1" selected="0">
            <x v="81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49">
      <pivotArea dataOnly="0" labelOnly="1" outline="0" fieldPosition="0">
        <references count="4">
          <reference field="3" count="1" selected="0">
            <x v="128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848">
      <pivotArea dataOnly="0" labelOnly="1" outline="0" fieldPosition="0">
        <references count="4">
          <reference field="3" count="1" selected="0">
            <x v="132"/>
          </reference>
          <reference field="5" count="1" selected="0">
            <x v="71"/>
          </reference>
          <reference field="10" count="1">
            <x v="14"/>
          </reference>
          <reference field="11" count="1" selected="0">
            <x v="0"/>
          </reference>
        </references>
      </pivotArea>
    </format>
    <format dxfId="847">
      <pivotArea dataOnly="0" labelOnly="1" outline="0" fieldPosition="0">
        <references count="4">
          <reference field="3" count="1" selected="0">
            <x v="136"/>
          </reference>
          <reference field="5" count="1" selected="0">
            <x v="99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846">
      <pivotArea dataOnly="0" labelOnly="1" outline="0" fieldPosition="0">
        <references count="4">
          <reference field="3" count="1" selected="0">
            <x v="138"/>
          </reference>
          <reference field="5" count="1" selected="0">
            <x v="66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845">
      <pivotArea dataOnly="0" labelOnly="1" outline="0" fieldPosition="0">
        <references count="4">
          <reference field="3" count="1" selected="0">
            <x v="140"/>
          </reference>
          <reference field="5" count="1" selected="0">
            <x v="97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844">
      <pivotArea dataOnly="0" labelOnly="1" outline="0" fieldPosition="0">
        <references count="4">
          <reference field="3" count="1" selected="0">
            <x v="142"/>
          </reference>
          <reference field="5" count="1" selected="0">
            <x v="82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43">
      <pivotArea dataOnly="0" labelOnly="1" outline="0" fieldPosition="0">
        <references count="4">
          <reference field="3" count="1" selected="0">
            <x v="143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842">
      <pivotArea dataOnly="0" labelOnly="1" outline="0" fieldPosition="0">
        <references count="4">
          <reference field="3" count="1" selected="0">
            <x v="144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841">
      <pivotArea dataOnly="0" labelOnly="1" outline="0" fieldPosition="0">
        <references count="4">
          <reference field="3" count="1" selected="0">
            <x v="145"/>
          </reference>
          <reference field="5" count="1" selected="0">
            <x v="80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40">
      <pivotArea dataOnly="0" labelOnly="1" outline="0" fieldPosition="0">
        <references count="4">
          <reference field="3" count="1" selected="0">
            <x v="150"/>
          </reference>
          <reference field="5" count="1" selected="0">
            <x v="66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839">
      <pivotArea dataOnly="0" labelOnly="1" outline="0" fieldPosition="0">
        <references count="4">
          <reference field="3" count="1" selected="0">
            <x v="153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838">
      <pivotArea dataOnly="0" labelOnly="1" outline="0" fieldPosition="0">
        <references count="4">
          <reference field="3" count="1" selected="0">
            <x v="154"/>
          </reference>
          <reference field="5" count="1" selected="0">
            <x v="95"/>
          </reference>
          <reference field="10" count="1">
            <x v="3"/>
          </reference>
          <reference field="11" count="1" selected="0">
            <x v="0"/>
          </reference>
        </references>
      </pivotArea>
    </format>
    <format dxfId="837">
      <pivotArea dataOnly="0" labelOnly="1" outline="0" fieldPosition="0">
        <references count="4">
          <reference field="3" count="1" selected="0">
            <x v="155"/>
          </reference>
          <reference field="5" count="1" selected="0">
            <x v="80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36">
      <pivotArea dataOnly="0" labelOnly="1" outline="0" fieldPosition="0">
        <references count="4">
          <reference field="3" count="1" selected="0">
            <x v="158"/>
          </reference>
          <reference field="5" count="1" selected="0">
            <x v="77"/>
          </reference>
          <reference field="10" count="1">
            <x v="10"/>
          </reference>
          <reference field="11" count="1" selected="0">
            <x v="0"/>
          </reference>
        </references>
      </pivotArea>
    </format>
    <format dxfId="835">
      <pivotArea dataOnly="0" labelOnly="1" outline="0" fieldPosition="0">
        <references count="4">
          <reference field="3" count="1" selected="0">
            <x v="160"/>
          </reference>
          <reference field="5" count="1" selected="0">
            <x v="56"/>
          </reference>
          <reference field="10" count="1">
            <x v="20"/>
          </reference>
          <reference field="11" count="1" selected="0">
            <x v="0"/>
          </reference>
        </references>
      </pivotArea>
    </format>
    <format dxfId="834">
      <pivotArea dataOnly="0" labelOnly="1" outline="0" fieldPosition="0">
        <references count="4">
          <reference field="3" count="1" selected="0">
            <x v="161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833">
      <pivotArea dataOnly="0" labelOnly="1" outline="0" fieldPosition="0">
        <references count="4">
          <reference field="3" count="1" selected="0">
            <x v="163"/>
          </reference>
          <reference field="5" count="1" selected="0">
            <x v="63"/>
          </reference>
          <reference field="10" count="1">
            <x v="17"/>
          </reference>
          <reference field="11" count="1" selected="0">
            <x v="0"/>
          </reference>
        </references>
      </pivotArea>
    </format>
    <format dxfId="832">
      <pivotArea dataOnly="0" labelOnly="1" outline="0" fieldPosition="0">
        <references count="4">
          <reference field="3" count="1" selected="0">
            <x v="164"/>
          </reference>
          <reference field="5" count="1" selected="0">
            <x v="81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31">
      <pivotArea dataOnly="0" labelOnly="1" outline="0" fieldPosition="0">
        <references count="4">
          <reference field="3" count="1" selected="0">
            <x v="167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830">
      <pivotArea dataOnly="0" labelOnly="1" outline="0" fieldPosition="0">
        <references count="4">
          <reference field="3" count="1" selected="0">
            <x v="169"/>
          </reference>
          <reference field="5" count="1" selected="0">
            <x v="100"/>
          </reference>
          <reference field="10" count="1">
            <x v="1"/>
          </reference>
          <reference field="11" count="1" selected="0">
            <x v="0"/>
          </reference>
        </references>
      </pivotArea>
    </format>
    <format dxfId="829">
      <pivotArea dataOnly="0" labelOnly="1" outline="0" fieldPosition="0">
        <references count="4">
          <reference field="3" count="1" selected="0">
            <x v="174"/>
          </reference>
          <reference field="5" count="1" selected="0">
            <x v="56"/>
          </reference>
          <reference field="10" count="1">
            <x v="20"/>
          </reference>
          <reference field="11" count="1" selected="0">
            <x v="0"/>
          </reference>
        </references>
      </pivotArea>
    </format>
    <format dxfId="828">
      <pivotArea dataOnly="0" labelOnly="1" outline="0" fieldPosition="0">
        <references count="4">
          <reference field="3" count="1" selected="0">
            <x v="175"/>
          </reference>
          <reference field="5" count="1" selected="0">
            <x v="62"/>
          </reference>
          <reference field="10" count="1">
            <x v="17"/>
          </reference>
          <reference field="11" count="1" selected="0">
            <x v="0"/>
          </reference>
        </references>
      </pivotArea>
    </format>
    <format dxfId="827">
      <pivotArea dataOnly="0" labelOnly="1" outline="0" fieldPosition="0">
        <references count="4">
          <reference field="3" count="1" selected="0">
            <x v="176"/>
          </reference>
          <reference field="5" count="1" selected="0">
            <x v="73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826">
      <pivotArea dataOnly="0" labelOnly="1" outline="0" fieldPosition="0">
        <references count="4">
          <reference field="3" count="1" selected="0">
            <x v="178"/>
          </reference>
          <reference field="5" count="1" selected="0">
            <x v="63"/>
          </reference>
          <reference field="10" count="1">
            <x v="17"/>
          </reference>
          <reference field="11" count="1" selected="0">
            <x v="0"/>
          </reference>
        </references>
      </pivotArea>
    </format>
    <format dxfId="825">
      <pivotArea dataOnly="0" labelOnly="1" outline="0" fieldPosition="0">
        <references count="4">
          <reference field="3" count="1" selected="0">
            <x v="182"/>
          </reference>
          <reference field="5" count="1" selected="0">
            <x v="101"/>
          </reference>
          <reference field="10" count="1">
            <x v="1"/>
          </reference>
          <reference field="11" count="1" selected="0">
            <x v="0"/>
          </reference>
        </references>
      </pivotArea>
    </format>
    <format dxfId="824">
      <pivotArea dataOnly="0" labelOnly="1" outline="0" fieldPosition="0">
        <references count="4">
          <reference field="3" count="1" selected="0">
            <x v="183"/>
          </reference>
          <reference field="5" count="1" selected="0">
            <x v="81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823">
      <pivotArea dataOnly="0" labelOnly="1" outline="0" fieldPosition="0">
        <references count="4">
          <reference field="3" count="1" selected="0">
            <x v="184"/>
          </reference>
          <reference field="5" count="1" selected="0">
            <x v="86"/>
          </reference>
          <reference field="10" count="1">
            <x v="6"/>
          </reference>
          <reference field="11" count="1" selected="0">
            <x v="0"/>
          </reference>
        </references>
      </pivotArea>
    </format>
    <format dxfId="822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19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82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8"/>
          </reference>
          <reference field="10" count="1">
            <x v="23"/>
          </reference>
          <reference field="11" count="1" selected="0">
            <x v="1"/>
          </reference>
        </references>
      </pivotArea>
    </format>
    <format dxfId="82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819">
      <pivotArea dataOnly="0" labelOnly="1" outline="0" fieldPosition="0">
        <references count="4">
          <reference field="3" count="1" selected="0">
            <x v="7"/>
          </reference>
          <reference field="5" count="1" selected="0">
            <x v="25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818">
      <pivotArea dataOnly="0" labelOnly="1" outline="0" fieldPosition="0">
        <references count="4">
          <reference field="3" count="1" selected="0">
            <x v="8"/>
          </reference>
          <reference field="5" count="1" selected="0">
            <x v="44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817">
      <pivotArea dataOnly="0" labelOnly="1" outline="0" fieldPosition="0">
        <references count="4">
          <reference field="3" count="1" selected="0">
            <x v="9"/>
          </reference>
          <reference field="5" count="1" selected="0">
            <x v="55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816">
      <pivotArea dataOnly="0" labelOnly="1" outline="0" fieldPosition="0">
        <references count="4">
          <reference field="3" count="1" selected="0">
            <x v="11"/>
          </reference>
          <reference field="5" count="1" selected="0">
            <x v="16"/>
          </reference>
          <reference field="10" count="1">
            <x v="34"/>
          </reference>
          <reference field="11" count="1" selected="0">
            <x v="1"/>
          </reference>
        </references>
      </pivotArea>
    </format>
    <format dxfId="815">
      <pivotArea dataOnly="0" labelOnly="1" outline="0" fieldPosition="0">
        <references count="4">
          <reference field="3" count="1" selected="0">
            <x v="12"/>
          </reference>
          <reference field="5" count="1" selected="0">
            <x v="34"/>
          </reference>
          <reference field="10" count="1">
            <x v="27"/>
          </reference>
          <reference field="11" count="1" selected="0">
            <x v="1"/>
          </reference>
        </references>
      </pivotArea>
    </format>
    <format dxfId="814">
      <pivotArea dataOnly="0" labelOnly="1" outline="0" fieldPosition="0">
        <references count="4">
          <reference field="3" count="1" selected="0">
            <x v="15"/>
          </reference>
          <reference field="5" count="1" selected="0">
            <x v="33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813">
      <pivotArea dataOnly="0" labelOnly="1" outline="0" fieldPosition="0">
        <references count="4">
          <reference field="3" count="1" selected="0">
            <x v="18"/>
          </reference>
          <reference field="5" count="1" selected="0">
            <x v="42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812">
      <pivotArea dataOnly="0" labelOnly="1" outline="0" fieldPosition="0">
        <references count="4">
          <reference field="3" count="1" selected="0">
            <x v="26"/>
          </reference>
          <reference field="5" count="1" selected="0">
            <x v="55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811">
      <pivotArea dataOnly="0" labelOnly="1" outline="0" fieldPosition="0">
        <references count="4">
          <reference field="3" count="1" selected="0">
            <x v="29"/>
          </reference>
          <reference field="5" count="1" selected="0">
            <x v="40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810">
      <pivotArea dataOnly="0" labelOnly="1" outline="0" fieldPosition="0">
        <references count="4">
          <reference field="3" count="1" selected="0">
            <x v="32"/>
          </reference>
          <reference field="5" count="1" selected="0">
            <x v="21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809">
      <pivotArea dataOnly="0" labelOnly="1" outline="0" fieldPosition="0">
        <references count="4">
          <reference field="3" count="1" selected="0">
            <x v="33"/>
          </reference>
          <reference field="5" count="1" selected="0">
            <x v="17"/>
          </reference>
          <reference field="10" count="1">
            <x v="33"/>
          </reference>
          <reference field="11" count="1" selected="0">
            <x v="1"/>
          </reference>
        </references>
      </pivotArea>
    </format>
    <format dxfId="808">
      <pivotArea dataOnly="0" labelOnly="1" outline="0" fieldPosition="0">
        <references count="4">
          <reference field="3" count="1" selected="0">
            <x v="39"/>
          </reference>
          <reference field="5" count="1" selected="0">
            <x v="27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807">
      <pivotArea dataOnly="0" labelOnly="1" outline="0" fieldPosition="0">
        <references count="4">
          <reference field="3" count="1" selected="0">
            <x v="44"/>
          </reference>
          <reference field="5" count="1" selected="0">
            <x v="46"/>
          </reference>
          <reference field="10" count="1">
            <x v="24"/>
          </reference>
          <reference field="11" count="1" selected="0">
            <x v="1"/>
          </reference>
        </references>
      </pivotArea>
    </format>
    <format dxfId="806">
      <pivotArea dataOnly="0" labelOnly="1" outline="0" fieldPosition="0">
        <references count="4">
          <reference field="3" count="1" selected="0">
            <x v="46"/>
          </reference>
          <reference field="5" count="1" selected="0">
            <x v="41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805">
      <pivotArea dataOnly="0" labelOnly="1" outline="0" fieldPosition="0">
        <references count="4">
          <reference field="3" count="1" selected="0">
            <x v="47"/>
          </reference>
          <reference field="5" count="1" selected="0">
            <x v="46"/>
          </reference>
          <reference field="10" count="1">
            <x v="24"/>
          </reference>
          <reference field="11" count="1" selected="0">
            <x v="1"/>
          </reference>
        </references>
      </pivotArea>
    </format>
    <format dxfId="804">
      <pivotArea dataOnly="0" labelOnly="1" outline="0" fieldPosition="0">
        <references count="4">
          <reference field="3" count="1" selected="0">
            <x v="52"/>
          </reference>
          <reference field="5" count="1" selected="0">
            <x v="32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803">
      <pivotArea dataOnly="0" labelOnly="1" outline="0" fieldPosition="0">
        <references count="4">
          <reference field="3" count="1" selected="0">
            <x v="53"/>
          </reference>
          <reference field="5" count="1" selected="0">
            <x v="18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802">
      <pivotArea dataOnly="0" labelOnly="1" outline="0" fieldPosition="0">
        <references count="4">
          <reference field="3" count="1" selected="0">
            <x v="60"/>
          </reference>
          <reference field="5" count="1" selected="0">
            <x v="26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801">
      <pivotArea dataOnly="0" labelOnly="1" outline="0" fieldPosition="0">
        <references count="4">
          <reference field="3" count="1" selected="0">
            <x v="61"/>
          </reference>
          <reference field="5" count="1" selected="0">
            <x v="53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800">
      <pivotArea dataOnly="0" labelOnly="1" outline="0" fieldPosition="0">
        <references count="4">
          <reference field="3" count="1" selected="0">
            <x v="62"/>
          </reference>
          <reference field="5" count="1" selected="0">
            <x v="13"/>
          </reference>
          <reference field="10" count="1">
            <x v="35"/>
          </reference>
          <reference field="11" count="1" selected="0">
            <x v="1"/>
          </reference>
        </references>
      </pivotArea>
    </format>
    <format dxfId="799">
      <pivotArea dataOnly="0" labelOnly="1" outline="0" fieldPosition="0">
        <references count="4">
          <reference field="3" count="1" selected="0">
            <x v="63"/>
          </reference>
          <reference field="5" count="1" selected="0">
            <x v="39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798">
      <pivotArea dataOnly="0" labelOnly="1" outline="0" fieldPosition="0">
        <references count="4">
          <reference field="3" count="1" selected="0">
            <x v="67"/>
          </reference>
          <reference field="5" count="1" selected="0">
            <x v="42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797">
      <pivotArea dataOnly="0" labelOnly="1" outline="0" fieldPosition="0">
        <references count="4">
          <reference field="3" count="1" selected="0">
            <x v="69"/>
          </reference>
          <reference field="5" count="1" selected="0">
            <x v="32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796">
      <pivotArea dataOnly="0" labelOnly="1" outline="0" fieldPosition="0">
        <references count="4">
          <reference field="3" count="1" selected="0">
            <x v="75"/>
          </reference>
          <reference field="5" count="1" selected="0">
            <x v="26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795">
      <pivotArea dataOnly="0" labelOnly="1" outline="0" fieldPosition="0">
        <references count="4">
          <reference field="3" count="1" selected="0">
            <x v="76"/>
          </reference>
          <reference field="5" count="1" selected="0">
            <x v="36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794">
      <pivotArea dataOnly="0" labelOnly="1" outline="0" fieldPosition="0">
        <references count="4">
          <reference field="3" count="1" selected="0">
            <x v="83"/>
          </reference>
          <reference field="5" count="1" selected="0">
            <x v="11"/>
          </reference>
          <reference field="10" count="1">
            <x v="36"/>
          </reference>
          <reference field="11" count="1" selected="0">
            <x v="1"/>
          </reference>
        </references>
      </pivotArea>
    </format>
    <format dxfId="793">
      <pivotArea dataOnly="0" labelOnly="1" outline="0" fieldPosition="0">
        <references count="4">
          <reference field="3" count="1" selected="0">
            <x v="95"/>
          </reference>
          <reference field="5" count="1" selected="0">
            <x v="24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792">
      <pivotArea dataOnly="0" labelOnly="1" outline="0" fieldPosition="0">
        <references count="4">
          <reference field="3" count="1" selected="0">
            <x v="97"/>
          </reference>
          <reference field="5" count="1" selected="0">
            <x v="32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791">
      <pivotArea dataOnly="0" labelOnly="1" outline="0" fieldPosition="0">
        <references count="4">
          <reference field="3" count="1" selected="0">
            <x v="98"/>
          </reference>
          <reference field="5" count="1" selected="0">
            <x v="23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790">
      <pivotArea dataOnly="0" labelOnly="1" outline="0" fieldPosition="0">
        <references count="4">
          <reference field="3" count="1" selected="0">
            <x v="99"/>
          </reference>
          <reference field="5" count="1" selected="0">
            <x v="18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789">
      <pivotArea dataOnly="0" labelOnly="1" outline="0" fieldPosition="0">
        <references count="4">
          <reference field="3" count="1" selected="0">
            <x v="109"/>
          </reference>
          <reference field="5" count="1" selected="0">
            <x v="50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788">
      <pivotArea dataOnly="0" labelOnly="1" outline="0" fieldPosition="0">
        <references count="4">
          <reference field="3" count="1" selected="0">
            <x v="110"/>
          </reference>
          <reference field="5" count="1" selected="0">
            <x v="33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787">
      <pivotArea dataOnly="0" labelOnly="1" outline="0" fieldPosition="0">
        <references count="4">
          <reference field="3" count="1" selected="0">
            <x v="111"/>
          </reference>
          <reference field="5" count="1" selected="0">
            <x v="51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786">
      <pivotArea dataOnly="0" labelOnly="1" outline="0" fieldPosition="0">
        <references count="4">
          <reference field="3" count="1" selected="0">
            <x v="113"/>
          </reference>
          <reference field="5" count="1" selected="0">
            <x v="55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785">
      <pivotArea dataOnly="0" labelOnly="1" outline="0" fieldPosition="0">
        <references count="4">
          <reference field="3" count="1" selected="0">
            <x v="115"/>
          </reference>
          <reference field="5" count="1" selected="0">
            <x v="28"/>
          </reference>
          <reference field="10" count="1">
            <x v="30"/>
          </reference>
          <reference field="11" count="1" selected="0">
            <x v="1"/>
          </reference>
        </references>
      </pivotArea>
    </format>
    <format dxfId="784">
      <pivotArea dataOnly="0" labelOnly="1" outline="0" fieldPosition="0">
        <references count="4">
          <reference field="3" count="1" selected="0">
            <x v="117"/>
          </reference>
          <reference field="5" count="1" selected="0">
            <x v="15"/>
          </reference>
          <reference field="10" count="1">
            <x v="34"/>
          </reference>
          <reference field="11" count="1" selected="0">
            <x v="1"/>
          </reference>
        </references>
      </pivotArea>
    </format>
    <format dxfId="783">
      <pivotArea dataOnly="0" labelOnly="1" outline="0" fieldPosition="0">
        <references count="4">
          <reference field="3" count="1" selected="0">
            <x v="119"/>
          </reference>
          <reference field="5" count="1" selected="0">
            <x v="24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782">
      <pivotArea dataOnly="0" labelOnly="1" outline="0" fieldPosition="0">
        <references count="4">
          <reference field="3" count="1" selected="0">
            <x v="125"/>
          </reference>
          <reference field="5" count="1" selected="0">
            <x v="49"/>
          </reference>
          <reference field="10" count="1">
            <x v="23"/>
          </reference>
          <reference field="11" count="1" selected="0">
            <x v="1"/>
          </reference>
        </references>
      </pivotArea>
    </format>
    <format dxfId="781">
      <pivotArea dataOnly="0" labelOnly="1" outline="0" fieldPosition="0">
        <references count="4">
          <reference field="3" count="1" selected="0">
            <x v="127"/>
          </reference>
          <reference field="5" count="1" selected="0">
            <x v="40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780">
      <pivotArea dataOnly="0" labelOnly="1" outline="0" fieldPosition="0">
        <references count="4">
          <reference field="3" count="1" selected="0">
            <x v="129"/>
          </reference>
          <reference field="5" count="1" selected="0">
            <x v="53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779">
      <pivotArea dataOnly="0" labelOnly="1" outline="0" fieldPosition="0">
        <references count="4">
          <reference field="3" count="1" selected="0">
            <x v="130"/>
          </reference>
          <reference field="5" count="1" selected="0">
            <x v="54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778">
      <pivotArea dataOnly="0" labelOnly="1" outline="0" fieldPosition="0">
        <references count="4">
          <reference field="3" count="1" selected="0">
            <x v="131"/>
          </reference>
          <reference field="5" count="1" selected="0">
            <x v="29"/>
          </reference>
          <reference field="10" count="1">
            <x v="30"/>
          </reference>
          <reference field="11" count="1" selected="0">
            <x v="1"/>
          </reference>
        </references>
      </pivotArea>
    </format>
    <format dxfId="777">
      <pivotArea dataOnly="0" labelOnly="1" outline="0" fieldPosition="0">
        <references count="4">
          <reference field="3" count="1" selected="0">
            <x v="133"/>
          </reference>
          <reference field="5" count="1" selected="0">
            <x v="34"/>
          </reference>
          <reference field="10" count="1">
            <x v="27"/>
          </reference>
          <reference field="11" count="1" selected="0">
            <x v="1"/>
          </reference>
        </references>
      </pivotArea>
    </format>
    <format dxfId="776">
      <pivotArea dataOnly="0" labelOnly="1" outline="0" fieldPosition="0">
        <references count="4">
          <reference field="3" count="1" selected="0">
            <x v="135"/>
          </reference>
          <reference field="5" count="1" selected="0">
            <x v="37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775">
      <pivotArea dataOnly="0" labelOnly="1" outline="0" fieldPosition="0">
        <references count="4">
          <reference field="3" count="1" selected="0">
            <x v="137"/>
          </reference>
          <reference field="5" count="1" selected="0">
            <x v="22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774">
      <pivotArea dataOnly="0" labelOnly="1" outline="0" fieldPosition="0">
        <references count="4">
          <reference field="3" count="1" selected="0">
            <x v="139"/>
          </reference>
          <reference field="5" count="1" selected="0">
            <x v="14"/>
          </reference>
          <reference field="10" count="1">
            <x v="35"/>
          </reference>
          <reference field="11" count="1" selected="0">
            <x v="1"/>
          </reference>
        </references>
      </pivotArea>
    </format>
    <format dxfId="773">
      <pivotArea dataOnly="0" labelOnly="1" outline="0" fieldPosition="0">
        <references count="4">
          <reference field="3" count="1" selected="0">
            <x v="141"/>
          </reference>
          <reference field="5" count="1" selected="0">
            <x v="35"/>
          </reference>
          <reference field="10" count="1">
            <x v="27"/>
          </reference>
          <reference field="11" count="1" selected="0">
            <x v="1"/>
          </reference>
        </references>
      </pivotArea>
    </format>
    <format dxfId="772">
      <pivotArea dataOnly="0" labelOnly="1" outline="0" fieldPosition="0">
        <references count="4">
          <reference field="3" count="1" selected="0">
            <x v="146"/>
          </reference>
          <reference field="5" count="1" selected="0">
            <x v="50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771">
      <pivotArea dataOnly="0" labelOnly="1" outline="0" fieldPosition="0">
        <references count="4">
          <reference field="3" count="1" selected="0">
            <x v="148"/>
          </reference>
          <reference field="5" count="1" selected="0">
            <x v="55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770">
      <pivotArea dataOnly="0" labelOnly="1" outline="0" fieldPosition="0">
        <references count="4">
          <reference field="3" count="1" selected="0">
            <x v="151"/>
          </reference>
          <reference field="5" count="1" selected="0">
            <x v="36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769">
      <pivotArea dataOnly="0" labelOnly="1" outline="0" fieldPosition="0">
        <references count="4">
          <reference field="3" count="1" selected="0">
            <x v="156"/>
          </reference>
          <reference field="5" count="1" selected="0">
            <x v="48"/>
          </reference>
          <reference field="10" count="1">
            <x v="23"/>
          </reference>
          <reference field="11" count="1" selected="0">
            <x v="1"/>
          </reference>
        </references>
      </pivotArea>
    </format>
    <format dxfId="768">
      <pivotArea dataOnly="0" labelOnly="1" outline="0" fieldPosition="0">
        <references count="4">
          <reference field="3" count="1" selected="0">
            <x v="159"/>
          </reference>
          <reference field="5" count="1" selected="0">
            <x v="31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767">
      <pivotArea dataOnly="0" labelOnly="1" outline="0" fieldPosition="0">
        <references count="4">
          <reference field="3" count="1" selected="0">
            <x v="166"/>
          </reference>
          <reference field="5" count="1" selected="0">
            <x v="20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766">
      <pivotArea dataOnly="0" labelOnly="1" outline="0" fieldPosition="0">
        <references count="4">
          <reference field="3" count="1" selected="0">
            <x v="168"/>
          </reference>
          <reference field="5" count="1" selected="0">
            <x v="45"/>
          </reference>
          <reference field="10" count="1">
            <x v="24"/>
          </reference>
          <reference field="11" count="1" selected="0">
            <x v="1"/>
          </reference>
        </references>
      </pivotArea>
    </format>
    <format dxfId="765">
      <pivotArea dataOnly="0" labelOnly="1" outline="0" fieldPosition="0">
        <references count="4">
          <reference field="3" count="1" selected="0">
            <x v="170"/>
          </reference>
          <reference field="5" count="1" selected="0">
            <x v="23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764">
      <pivotArea dataOnly="0" labelOnly="1" outline="0" fieldPosition="0">
        <references count="4">
          <reference field="3" count="1" selected="0">
            <x v="172"/>
          </reference>
          <reference field="5" count="1" selected="0">
            <x v="48"/>
          </reference>
          <reference field="10" count="1">
            <x v="23"/>
          </reference>
          <reference field="11" count="1" selected="0">
            <x v="1"/>
          </reference>
        </references>
      </pivotArea>
    </format>
    <format dxfId="763">
      <pivotArea dataOnly="0" labelOnly="1" outline="0" fieldPosition="0">
        <references count="4">
          <reference field="3" count="1" selected="0">
            <x v="173"/>
          </reference>
          <reference field="5" count="1" selected="0">
            <x v="30"/>
          </reference>
          <reference field="10" count="1">
            <x v="29"/>
          </reference>
          <reference field="11" count="1" selected="0">
            <x v="1"/>
          </reference>
        </references>
      </pivotArea>
    </format>
    <format dxfId="762">
      <pivotArea dataOnly="0" labelOnly="1" outline="0" fieldPosition="0">
        <references count="4">
          <reference field="3" count="1" selected="0">
            <x v="177"/>
          </reference>
          <reference field="5" count="1" selected="0">
            <x v="43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761">
      <pivotArea dataOnly="0" labelOnly="1" outline="0" fieldPosition="0">
        <references count="4">
          <reference field="3" count="1" selected="0">
            <x v="179"/>
          </reference>
          <reference field="5" count="1" selected="0">
            <x v="38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760">
      <pivotArea dataOnly="0" labelOnly="1" outline="0" fieldPosition="0">
        <references count="4">
          <reference field="3" count="1" selected="0">
            <x v="181"/>
          </reference>
          <reference field="5" count="1" selected="0">
            <x v="12"/>
          </reference>
          <reference field="10" count="1">
            <x v="35"/>
          </reference>
          <reference field="11" count="1" selected="0">
            <x v="1"/>
          </reference>
        </references>
      </pivotArea>
    </format>
    <format dxfId="759">
      <pivotArea dataOnly="0" labelOnly="1" outline="0" fieldPosition="0">
        <references count="4">
          <reference field="3" count="1" selected="0">
            <x v="185"/>
          </reference>
          <reference field="5" count="1" selected="0">
            <x v="36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758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757">
      <pivotArea dataOnly="0" labelOnly="1" outline="0" fieldPosition="0">
        <references count="4">
          <reference field="3" count="1" selected="0">
            <x v="14"/>
          </reference>
          <reference field="5" count="1" selected="0">
            <x v="9"/>
          </reference>
          <reference field="10" count="1">
            <x v="38"/>
          </reference>
          <reference field="11" count="1" selected="0">
            <x v="2"/>
          </reference>
        </references>
      </pivotArea>
    </format>
    <format dxfId="756">
      <pivotArea dataOnly="0" labelOnly="1" outline="0" fieldPosition="0">
        <references count="4">
          <reference field="3" count="1" selected="0">
            <x v="17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755">
      <pivotArea dataOnly="0" labelOnly="1" outline="0" fieldPosition="0">
        <references count="4">
          <reference field="3" count="1" selected="0">
            <x v="19"/>
          </reference>
          <reference field="5" count="1" selected="0">
            <x v="1"/>
          </reference>
          <reference field="10" count="1">
            <x v="42"/>
          </reference>
          <reference field="11" count="1" selected="0">
            <x v="2"/>
          </reference>
        </references>
      </pivotArea>
    </format>
    <format dxfId="754">
      <pivotArea dataOnly="0" labelOnly="1" outline="0" fieldPosition="0">
        <references count="4">
          <reference field="3" count="1" selected="0">
            <x v="21"/>
          </reference>
          <reference field="5" count="1" selected="0">
            <x v="8"/>
          </reference>
          <reference field="10" count="1">
            <x v="38"/>
          </reference>
          <reference field="11" count="1" selected="0">
            <x v="2"/>
          </reference>
        </references>
      </pivotArea>
    </format>
    <format dxfId="753">
      <pivotArea dataOnly="0" labelOnly="1" outline="0" fieldPosition="0">
        <references count="4">
          <reference field="3" count="1" selected="0">
            <x v="40"/>
          </reference>
          <reference field="5" count="1" selected="0">
            <x v="6"/>
          </reference>
          <reference field="10" count="1">
            <x v="39"/>
          </reference>
          <reference field="11" count="1" selected="0">
            <x v="2"/>
          </reference>
        </references>
      </pivotArea>
    </format>
    <format dxfId="752">
      <pivotArea dataOnly="0" labelOnly="1" outline="0" fieldPosition="0">
        <references count="4">
          <reference field="3" count="1" selected="0">
            <x v="43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751">
      <pivotArea dataOnly="0" labelOnly="1" outline="0" fieldPosition="0">
        <references count="4">
          <reference field="3" count="1" selected="0">
            <x v="51"/>
          </reference>
          <reference field="5" count="1" selected="0">
            <x v="2"/>
          </reference>
          <reference field="10" count="1">
            <x v="42"/>
          </reference>
          <reference field="11" count="1" selected="0">
            <x v="2"/>
          </reference>
        </references>
      </pivotArea>
    </format>
    <format dxfId="750">
      <pivotArea dataOnly="0" labelOnly="1" outline="0" fieldPosition="0">
        <references count="4">
          <reference field="3" count="1" selected="0">
            <x v="56"/>
          </reference>
          <reference field="5" count="1" selected="0">
            <x v="10"/>
          </reference>
          <reference field="10" count="1">
            <x v="37"/>
          </reference>
          <reference field="11" count="1" selected="0">
            <x v="2"/>
          </reference>
        </references>
      </pivotArea>
    </format>
    <format dxfId="749">
      <pivotArea dataOnly="0" labelOnly="1" outline="0" fieldPosition="0">
        <references count="4">
          <reference field="3" count="1" selected="0">
            <x v="57"/>
          </reference>
          <reference field="5" count="1" selected="0">
            <x v="7"/>
          </reference>
          <reference field="10" count="1">
            <x v="38"/>
          </reference>
          <reference field="11" count="1" selected="0">
            <x v="2"/>
          </reference>
        </references>
      </pivotArea>
    </format>
    <format dxfId="748">
      <pivotArea dataOnly="0" labelOnly="1" outline="0" fieldPosition="0">
        <references count="4">
          <reference field="3" count="1" selected="0">
            <x v="70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747">
      <pivotArea dataOnly="0" labelOnly="1" outline="0" fieldPosition="0">
        <references count="4">
          <reference field="3" count="1" selected="0">
            <x v="72"/>
          </reference>
          <reference field="5" count="1" selected="0">
            <x v="4"/>
          </reference>
          <reference field="10" count="1">
            <x v="40"/>
          </reference>
          <reference field="11" count="1" selected="0">
            <x v="2"/>
          </reference>
        </references>
      </pivotArea>
    </format>
    <format dxfId="746">
      <pivotArea dataOnly="0" labelOnly="1" outline="0" fieldPosition="0">
        <references count="4">
          <reference field="3" count="1" selected="0">
            <x v="74"/>
          </reference>
          <reference field="5" count="1" selected="0">
            <x v="3"/>
          </reference>
          <reference field="10" count="1">
            <x v="41"/>
          </reference>
          <reference field="11" count="1" selected="0">
            <x v="2"/>
          </reference>
        </references>
      </pivotArea>
    </format>
    <format dxfId="745">
      <pivotArea dataOnly="0" labelOnly="1" outline="0" fieldPosition="0">
        <references count="4">
          <reference field="3" count="1" selected="0">
            <x v="79"/>
          </reference>
          <reference field="5" count="1" selected="0">
            <x v="4"/>
          </reference>
          <reference field="10" count="1">
            <x v="40"/>
          </reference>
          <reference field="11" count="1" selected="0">
            <x v="2"/>
          </reference>
        </references>
      </pivotArea>
    </format>
    <format dxfId="744">
      <pivotArea dataOnly="0" labelOnly="1" outline="0" fieldPosition="0">
        <references count="4">
          <reference field="3" count="1" selected="0">
            <x v="104"/>
          </reference>
          <reference field="5" count="1" selected="0">
            <x v="9"/>
          </reference>
          <reference field="10" count="1">
            <x v="38"/>
          </reference>
          <reference field="11" count="1" selected="0">
            <x v="2"/>
          </reference>
        </references>
      </pivotArea>
    </format>
    <format dxfId="743">
      <pivotArea dataOnly="0" labelOnly="1" outline="0" fieldPosition="0">
        <references count="4">
          <reference field="3" count="1" selected="0">
            <x v="105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742">
      <pivotArea dataOnly="0" labelOnly="1" outline="0" fieldPosition="0">
        <references count="4">
          <reference field="3" count="1" selected="0">
            <x v="108"/>
          </reference>
          <reference field="5" count="1" selected="0">
            <x v="4"/>
          </reference>
          <reference field="10" count="1">
            <x v="40"/>
          </reference>
          <reference field="11" count="1" selected="0">
            <x v="2"/>
          </reference>
        </references>
      </pivotArea>
    </format>
    <format dxfId="741">
      <pivotArea dataOnly="0" labelOnly="1" outline="0" fieldPosition="0">
        <references count="4">
          <reference field="3" count="1" selected="0">
            <x v="134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740">
      <pivotArea dataOnly="0" labelOnly="1" outline="0" fieldPosition="0">
        <references count="4">
          <reference field="3" count="1" selected="0">
            <x v="149"/>
          </reference>
          <reference field="5" count="1" selected="0">
            <x v="4"/>
          </reference>
          <reference field="10" count="1">
            <x v="40"/>
          </reference>
          <reference field="11" count="1" selected="0">
            <x v="2"/>
          </reference>
        </references>
      </pivotArea>
    </format>
    <format dxfId="739">
      <pivotArea dataOnly="0" labelOnly="1" outline="0" fieldPosition="0">
        <references count="5">
          <reference field="3" count="1" selected="0">
            <x v="2"/>
          </reference>
          <reference field="5" count="1" selected="0">
            <x v="58"/>
          </reference>
          <reference field="10" count="1" selected="0">
            <x v="19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38">
      <pivotArea dataOnly="0" labelOnly="1" outline="0" fieldPosition="0">
        <references count="5">
          <reference field="3" count="1" selected="0">
            <x v="4"/>
          </reference>
          <reference field="5" count="1" selected="0">
            <x v="59"/>
          </reference>
          <reference field="10" count="1" selected="0">
            <x v="1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37">
      <pivotArea dataOnly="0" labelOnly="1" outline="0" fieldPosition="0">
        <references count="5">
          <reference field="3" count="1" selected="0">
            <x v="5"/>
          </reference>
          <reference field="5" count="1" selected="0">
            <x v="70"/>
          </reference>
          <reference field="10" count="1" selected="0">
            <x v="14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36">
      <pivotArea dataOnly="0" labelOnly="1" outline="0" fieldPosition="0">
        <references count="5">
          <reference field="3" count="1" selected="0">
            <x v="10"/>
          </reference>
          <reference field="5" count="1" selected="0">
            <x v="71"/>
          </reference>
          <reference field="10" count="1" selected="0">
            <x v="14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35">
      <pivotArea dataOnly="0" labelOnly="1" outline="0" fieldPosition="0">
        <references count="5">
          <reference field="3" count="1" selected="0">
            <x v="13"/>
          </reference>
          <reference field="5" count="1" selected="0">
            <x v="83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34">
      <pivotArea dataOnly="0" labelOnly="1" outline="0" fieldPosition="0">
        <references count="5">
          <reference field="3" count="1" selected="0">
            <x v="16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33">
      <pivotArea dataOnly="0" labelOnly="1" outline="0" fieldPosition="0">
        <references count="5">
          <reference field="3" count="1" selected="0">
            <x v="20"/>
          </reference>
          <reference field="5" count="1" selected="0">
            <x v="72"/>
          </reference>
          <reference field="10" count="1" selected="0">
            <x v="13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32">
      <pivotArea dataOnly="0" labelOnly="1" outline="0" fieldPosition="0">
        <references count="5">
          <reference field="3" count="1" selected="0">
            <x v="22"/>
          </reference>
          <reference field="5" count="1" selected="0">
            <x v="67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31">
      <pivotArea dataOnly="0" labelOnly="1" outline="0" fieldPosition="0">
        <references count="5">
          <reference field="3" count="1" selected="0">
            <x v="23"/>
          </reference>
          <reference field="5" count="1" selected="0">
            <x v="93"/>
          </reference>
          <reference field="10" count="1" selected="0">
            <x v="3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30">
      <pivotArea dataOnly="0" labelOnly="1" outline="0" fieldPosition="0">
        <references count="5">
          <reference field="3" count="1" selected="0">
            <x v="24"/>
          </reference>
          <reference field="5" count="1" selected="0">
            <x v="82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29">
      <pivotArea dataOnly="0" labelOnly="1" outline="0" fieldPosition="0">
        <references count="5">
          <reference field="3" count="1" selected="0">
            <x v="25"/>
          </reference>
          <reference field="5" count="1" selected="0">
            <x v="67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28">
      <pivotArea dataOnly="0" labelOnly="1" outline="0" fieldPosition="0">
        <references count="5">
          <reference field="3" count="1" selected="0">
            <x v="27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27">
      <pivotArea dataOnly="0" labelOnly="1" outline="0" fieldPosition="0">
        <references count="5">
          <reference field="3" count="1" selected="0">
            <x v="28"/>
          </reference>
          <reference field="5" count="1" selected="0">
            <x v="56"/>
          </reference>
          <reference field="10" count="1" selected="0">
            <x v="2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26">
      <pivotArea dataOnly="0" labelOnly="1" outline="0" fieldPosition="0">
        <references count="5">
          <reference field="3" count="1" selected="0">
            <x v="30"/>
          </reference>
          <reference field="5" count="1" selected="0">
            <x v="105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25">
      <pivotArea dataOnly="0" labelOnly="1" outline="0" fieldPosition="0">
        <references count="5">
          <reference field="3" count="1" selected="0">
            <x v="31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24">
      <pivotArea dataOnly="0" labelOnly="1" outline="0" fieldPosition="0">
        <references count="5">
          <reference field="3" count="1" selected="0">
            <x v="34"/>
          </reference>
          <reference field="5" count="1" selected="0">
            <x v="85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23">
      <pivotArea dataOnly="0" labelOnly="1" outline="0" fieldPosition="0">
        <references count="5">
          <reference field="3" count="1" selected="0">
            <x v="35"/>
          </reference>
          <reference field="5" count="1" selected="0">
            <x v="64"/>
          </reference>
          <reference field="10" count="1" selected="0">
            <x v="16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22">
      <pivotArea dataOnly="0" labelOnly="1" outline="0" fieldPosition="0">
        <references count="5">
          <reference field="3" count="1" selected="0">
            <x v="36"/>
          </reference>
          <reference field="5" count="1" selected="0">
            <x v="69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21">
      <pivotArea dataOnly="0" labelOnly="1" outline="0" fieldPosition="0">
        <references count="5">
          <reference field="3" count="1" selected="0">
            <x v="37"/>
          </reference>
          <reference field="5" count="1" selected="0">
            <x v="90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20">
      <pivotArea dataOnly="0" labelOnly="1" outline="0" fieldPosition="0">
        <references count="5">
          <reference field="3" count="1" selected="0">
            <x v="38"/>
          </reference>
          <reference field="5" count="1" selected="0">
            <x v="92"/>
          </reference>
          <reference field="10" count="1" selected="0">
            <x v="4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19">
      <pivotArea dataOnly="0" labelOnly="1" outline="0" fieldPosition="0">
        <references count="5">
          <reference field="3" count="1" selected="0">
            <x v="41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18">
      <pivotArea dataOnly="0" labelOnly="1" outline="0" fieldPosition="0">
        <references count="5">
          <reference field="3" count="1" selected="0">
            <x v="42"/>
          </reference>
          <reference field="5" count="1" selected="0">
            <x v="103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17">
      <pivotArea dataOnly="0" labelOnly="1" outline="0" fieldPosition="0">
        <references count="5">
          <reference field="3" count="1" selected="0">
            <x v="45"/>
          </reference>
          <reference field="5" count="1" selected="0">
            <x v="98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16">
      <pivotArea dataOnly="0" labelOnly="1" outline="0" fieldPosition="0">
        <references count="5">
          <reference field="3" count="1" selected="0">
            <x v="48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15">
      <pivotArea dataOnly="0" labelOnly="1" outline="0" fieldPosition="0">
        <references count="5">
          <reference field="3" count="1" selected="0">
            <x v="49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14">
      <pivotArea dataOnly="0" labelOnly="1" outline="0" fieldPosition="0">
        <references count="5">
          <reference field="3" count="1" selected="0">
            <x v="54"/>
          </reference>
          <reference field="5" count="1" selected="0">
            <x v="74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13">
      <pivotArea dataOnly="0" labelOnly="1" outline="0" fieldPosition="0">
        <references count="5">
          <reference field="3" count="1" selected="0">
            <x v="55"/>
          </reference>
          <reference field="5" count="1" selected="0">
            <x v="96"/>
          </reference>
          <reference field="10" count="1" selected="0">
            <x v="3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12">
      <pivotArea dataOnly="0" labelOnly="1" outline="0" fieldPosition="0">
        <references count="5">
          <reference field="3" count="1" selected="0">
            <x v="58"/>
          </reference>
          <reference field="5" count="1" selected="0">
            <x v="104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11">
      <pivotArea dataOnly="0" labelOnly="1" outline="0" fieldPosition="0">
        <references count="5">
          <reference field="3" count="1" selected="0">
            <x v="59"/>
          </reference>
          <reference field="5" count="1" selected="0">
            <x v="67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10">
      <pivotArea dataOnly="0" labelOnly="1" outline="0" fieldPosition="0">
        <references count="5">
          <reference field="3" count="1" selected="0">
            <x v="64"/>
          </reference>
          <reference field="5" count="1" selected="0">
            <x v="84"/>
          </reference>
          <reference field="10" count="1" selected="0">
            <x v="7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09">
      <pivotArea dataOnly="0" labelOnly="1" outline="0" fieldPosition="0">
        <references count="5">
          <reference field="3" count="1" selected="0">
            <x v="65"/>
          </reference>
          <reference field="5" count="1" selected="0">
            <x v="94"/>
          </reference>
          <reference field="10" count="1" selected="0">
            <x v="3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08">
      <pivotArea dataOnly="0" labelOnly="1" outline="0" fieldPosition="0">
        <references count="5">
          <reference field="3" count="1" selected="0">
            <x v="66"/>
          </reference>
          <reference field="5" count="1" selected="0">
            <x v="84"/>
          </reference>
          <reference field="10" count="1" selected="0">
            <x v="7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07">
      <pivotArea dataOnly="0" labelOnly="1" outline="0" fieldPosition="0">
        <references count="5">
          <reference field="3" count="1" selected="0">
            <x v="71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06">
      <pivotArea dataOnly="0" labelOnly="1" outline="0" fieldPosition="0">
        <references count="5">
          <reference field="3" count="1" selected="0">
            <x v="73"/>
          </reference>
          <reference field="5" count="1" selected="0">
            <x v="61"/>
          </reference>
          <reference field="10" count="1" selected="0">
            <x v="17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05">
      <pivotArea dataOnly="0" labelOnly="1" outline="0" fieldPosition="0">
        <references count="5">
          <reference field="3" count="1" selected="0">
            <x v="78"/>
          </reference>
          <reference field="5" count="1" selected="0">
            <x v="57"/>
          </reference>
          <reference field="10" count="1" selected="0">
            <x v="2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04">
      <pivotArea dataOnly="0" labelOnly="1" outline="0" fieldPosition="0">
        <references count="5">
          <reference field="3" count="1" selected="0">
            <x v="80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03">
      <pivotArea dataOnly="0" labelOnly="1" outline="0" fieldPosition="0">
        <references count="5">
          <reference field="3" count="1" selected="0">
            <x v="81"/>
          </reference>
          <reference field="5" count="1" selected="0">
            <x v="89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702">
      <pivotArea dataOnly="0" labelOnly="1" outline="0" fieldPosition="0">
        <references count="5">
          <reference field="3" count="1" selected="0">
            <x v="82"/>
          </reference>
          <reference field="5" count="1" selected="0">
            <x v="103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01">
      <pivotArea dataOnly="0" labelOnly="1" outline="0" fieldPosition="0">
        <references count="5">
          <reference field="3" count="1" selected="0">
            <x v="84"/>
          </reference>
          <reference field="5" count="1" selected="0">
            <x v="91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700">
      <pivotArea dataOnly="0" labelOnly="1" outline="0" fieldPosition="0">
        <references count="5">
          <reference field="3" count="1" selected="0">
            <x v="85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99">
      <pivotArea dataOnly="0" labelOnly="1" outline="0" fieldPosition="0">
        <references count="5">
          <reference field="3" count="1" selected="0">
            <x v="86"/>
          </reference>
          <reference field="5" count="1" selected="0">
            <x v="67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98">
      <pivotArea dataOnly="0" labelOnly="1" outline="0" fieldPosition="0">
        <references count="5">
          <reference field="3" count="1" selected="0">
            <x v="87"/>
          </reference>
          <reference field="5" count="1" selected="0">
            <x v="84"/>
          </reference>
          <reference field="10" count="1" selected="0">
            <x v="7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97">
      <pivotArea dataOnly="0" labelOnly="1" outline="0" fieldPosition="0">
        <references count="5">
          <reference field="3" count="1" selected="0">
            <x v="88"/>
          </reference>
          <reference field="5" count="1" selected="0">
            <x v="87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696">
      <pivotArea dataOnly="0" labelOnly="1" outline="0" fieldPosition="0">
        <references count="5">
          <reference field="3" count="1" selected="0">
            <x v="89"/>
          </reference>
          <reference field="5" count="1" selected="0">
            <x v="86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695">
      <pivotArea dataOnly="0" labelOnly="1" outline="0" fieldPosition="0">
        <references count="5">
          <reference field="3" count="1" selected="0">
            <x v="90"/>
          </reference>
          <reference field="5" count="1" selected="0">
            <x v="78"/>
          </reference>
          <reference field="10" count="1" selected="0">
            <x v="1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94">
      <pivotArea dataOnly="0" labelOnly="1" outline="0" fieldPosition="0">
        <references count="5">
          <reference field="3" count="1" selected="0">
            <x v="91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93">
      <pivotArea dataOnly="0" labelOnly="1" outline="0" fieldPosition="0">
        <references count="5">
          <reference field="3" count="1" selected="0">
            <x v="92"/>
          </reference>
          <reference field="5" count="1" selected="0">
            <x v="60"/>
          </reference>
          <reference field="10" count="1" selected="0">
            <x v="1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92">
      <pivotArea dataOnly="0" labelOnly="1" outline="0" fieldPosition="0">
        <references count="5">
          <reference field="3" count="1" selected="0">
            <x v="93"/>
          </reference>
          <reference field="5" count="1" selected="0">
            <x v="102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91">
      <pivotArea dataOnly="0" labelOnly="1" outline="0" fieldPosition="0">
        <references count="5">
          <reference field="3" count="1" selected="0">
            <x v="94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90">
      <pivotArea dataOnly="0" labelOnly="1" outline="0" fieldPosition="0">
        <references count="5">
          <reference field="3" count="1" selected="0">
            <x v="96"/>
          </reference>
          <reference field="5" count="1" selected="0">
            <x v="106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89">
      <pivotArea dataOnly="0" labelOnly="1" outline="0" fieldPosition="0">
        <references count="5">
          <reference field="3" count="1" selected="0">
            <x v="100"/>
          </reference>
          <reference field="5" count="1" selected="0">
            <x v="82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88">
      <pivotArea dataOnly="0" labelOnly="1" outline="0" fieldPosition="0">
        <references count="5">
          <reference field="3" count="1" selected="0">
            <x v="101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87">
      <pivotArea dataOnly="0" labelOnly="1" outline="0" fieldPosition="0">
        <references count="5">
          <reference field="3" count="1" selected="0">
            <x v="102"/>
          </reference>
          <reference field="5" count="1" selected="0">
            <x v="76"/>
          </reference>
          <reference field="10" count="1" selected="0">
            <x v="11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86">
      <pivotArea dataOnly="0" labelOnly="1" outline="0" fieldPosition="0">
        <references count="5">
          <reference field="3" count="1" selected="0">
            <x v="106"/>
          </reference>
          <reference field="5" count="1" selected="0">
            <x v="97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85">
      <pivotArea dataOnly="0" labelOnly="1" outline="0" fieldPosition="0">
        <references count="5">
          <reference field="3" count="1" selected="0">
            <x v="107"/>
          </reference>
          <reference field="5" count="1" selected="0">
            <x v="97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84">
      <pivotArea dataOnly="0" labelOnly="1" outline="0" fieldPosition="0">
        <references count="5">
          <reference field="3" count="1" selected="0">
            <x v="112"/>
          </reference>
          <reference field="5" count="1" selected="0">
            <x v="105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83">
      <pivotArea dataOnly="0" labelOnly="1" outline="0" fieldPosition="0">
        <references count="5">
          <reference field="3" count="1" selected="0">
            <x v="114"/>
          </reference>
          <reference field="5" count="1" selected="0">
            <x v="98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82">
      <pivotArea dataOnly="0" labelOnly="1" outline="0" fieldPosition="0">
        <references count="5">
          <reference field="3" count="1" selected="0">
            <x v="116"/>
          </reference>
          <reference field="5" count="1" selected="0">
            <x v="103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81">
      <pivotArea dataOnly="0" labelOnly="1" outline="0" fieldPosition="0">
        <references count="5">
          <reference field="3" count="1" selected="0">
            <x v="118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80">
      <pivotArea dataOnly="0" labelOnly="1" outline="0" fieldPosition="0">
        <references count="5">
          <reference field="3" count="1" selected="0">
            <x v="120"/>
          </reference>
          <reference field="5" count="1" selected="0">
            <x v="65"/>
          </reference>
          <reference field="10" count="1" selected="0">
            <x v="16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679">
      <pivotArea dataOnly="0" labelOnly="1" outline="0" fieldPosition="0">
        <references count="5">
          <reference field="3" count="1" selected="0">
            <x v="121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78">
      <pivotArea dataOnly="0" labelOnly="1" outline="0" fieldPosition="0">
        <references count="5">
          <reference field="3" count="1" selected="0">
            <x v="122"/>
          </reference>
          <reference field="5" count="1" selected="0">
            <x v="98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77">
      <pivotArea dataOnly="0" labelOnly="1" outline="0" fieldPosition="0">
        <references count="5">
          <reference field="3" count="1" selected="0">
            <x v="123"/>
          </reference>
          <reference field="5" count="1" selected="0">
            <x v="69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76">
      <pivotArea dataOnly="0" labelOnly="1" outline="0" fieldPosition="0">
        <references count="5">
          <reference field="3" count="1" selected="0">
            <x v="124"/>
          </reference>
          <reference field="5" count="1" selected="0">
            <x v="102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75">
      <pivotArea dataOnly="0" labelOnly="1" outline="0" fieldPosition="0">
        <references count="5">
          <reference field="3" count="1" selected="0">
            <x v="126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74">
      <pivotArea dataOnly="0" labelOnly="1" outline="0" fieldPosition="0">
        <references count="5">
          <reference field="3" count="1" selected="0">
            <x v="128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73">
      <pivotArea dataOnly="0" labelOnly="1" outline="0" fieldPosition="0">
        <references count="5">
          <reference field="3" count="1" selected="0">
            <x v="132"/>
          </reference>
          <reference field="5" count="1" selected="0">
            <x v="71"/>
          </reference>
          <reference field="10" count="1" selected="0">
            <x v="14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672">
      <pivotArea dataOnly="0" labelOnly="1" outline="0" fieldPosition="0">
        <references count="5">
          <reference field="3" count="1" selected="0">
            <x v="136"/>
          </reference>
          <reference field="5" count="1" selected="0">
            <x v="99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71">
      <pivotArea dataOnly="0" labelOnly="1" outline="0" fieldPosition="0">
        <references count="5">
          <reference field="3" count="1" selected="0">
            <x v="138"/>
          </reference>
          <reference field="5" count="1" selected="0">
            <x v="66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70">
      <pivotArea dataOnly="0" labelOnly="1" outline="0" fieldPosition="0">
        <references count="5">
          <reference field="3" count="1" selected="0">
            <x v="140"/>
          </reference>
          <reference field="5" count="1" selected="0">
            <x v="97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69">
      <pivotArea dataOnly="0" labelOnly="1" outline="0" fieldPosition="0">
        <references count="5">
          <reference field="3" count="1" selected="0">
            <x v="142"/>
          </reference>
          <reference field="5" count="1" selected="0">
            <x v="82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68">
      <pivotArea dataOnly="0" labelOnly="1" outline="0" fieldPosition="0">
        <references count="5">
          <reference field="3" count="1" selected="0">
            <x v="143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67">
      <pivotArea dataOnly="0" labelOnly="1" outline="0" fieldPosition="0">
        <references count="5">
          <reference field="3" count="1" selected="0">
            <x v="144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66">
      <pivotArea dataOnly="0" labelOnly="1" outline="0" fieldPosition="0">
        <references count="5">
          <reference field="3" count="1" selected="0">
            <x v="145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65">
      <pivotArea dataOnly="0" labelOnly="1" outline="0" fieldPosition="0">
        <references count="5">
          <reference field="3" count="1" selected="0">
            <x v="150"/>
          </reference>
          <reference field="5" count="1" selected="0">
            <x v="66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64">
      <pivotArea dataOnly="0" labelOnly="1" outline="0" fieldPosition="0">
        <references count="5">
          <reference field="3" count="1" selected="0">
            <x v="152"/>
          </reference>
          <reference field="5" count="1" selected="0">
            <x v="68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63">
      <pivotArea dataOnly="0" labelOnly="1" outline="0" fieldPosition="0">
        <references count="5">
          <reference field="3" count="1" selected="0">
            <x v="153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62">
      <pivotArea dataOnly="0" labelOnly="1" outline="0" fieldPosition="0">
        <references count="5">
          <reference field="3" count="1" selected="0">
            <x v="154"/>
          </reference>
          <reference field="5" count="1" selected="0">
            <x v="95"/>
          </reference>
          <reference field="10" count="1" selected="0">
            <x v="3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61">
      <pivotArea dataOnly="0" labelOnly="1" outline="0" fieldPosition="0">
        <references count="5">
          <reference field="3" count="1" selected="0">
            <x v="155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60">
      <pivotArea dataOnly="0" labelOnly="1" outline="0" fieldPosition="0">
        <references count="5">
          <reference field="3" count="1" selected="0">
            <x v="157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59">
      <pivotArea dataOnly="0" labelOnly="1" outline="0" fieldPosition="0">
        <references count="5">
          <reference field="3" count="1" selected="0">
            <x v="158"/>
          </reference>
          <reference field="5" count="1" selected="0">
            <x v="77"/>
          </reference>
          <reference field="10" count="1" selected="0">
            <x v="1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58">
      <pivotArea dataOnly="0" labelOnly="1" outline="0" fieldPosition="0">
        <references count="5">
          <reference field="3" count="1" selected="0">
            <x v="160"/>
          </reference>
          <reference field="5" count="1" selected="0">
            <x v="56"/>
          </reference>
          <reference field="10" count="1" selected="0">
            <x v="2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57">
      <pivotArea dataOnly="0" labelOnly="1" outline="0" fieldPosition="0">
        <references count="5">
          <reference field="3" count="1" selected="0">
            <x v="161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56">
      <pivotArea dataOnly="0" labelOnly="1" outline="0" fieldPosition="0">
        <references count="5">
          <reference field="3" count="1" selected="0">
            <x v="163"/>
          </reference>
          <reference field="5" count="1" selected="0">
            <x v="63"/>
          </reference>
          <reference field="10" count="1" selected="0">
            <x v="17"/>
          </reference>
          <reference field="11" count="1" selected="0">
            <x v="0"/>
          </reference>
          <reference field="12" count="1">
            <x v="2"/>
          </reference>
        </references>
      </pivotArea>
    </format>
    <format dxfId="655">
      <pivotArea dataOnly="0" labelOnly="1" outline="0" fieldPosition="0">
        <references count="5">
          <reference field="3" count="1" selected="0">
            <x v="164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54">
      <pivotArea dataOnly="0" labelOnly="1" outline="0" fieldPosition="0">
        <references count="5">
          <reference field="3" count="1" selected="0">
            <x v="167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1"/>
          </reference>
        </references>
      </pivotArea>
    </format>
    <format dxfId="653">
      <pivotArea dataOnly="0" labelOnly="1" outline="0" fieldPosition="0">
        <references count="5">
          <reference field="3" count="1" selected="0">
            <x v="169"/>
          </reference>
          <reference field="5" count="1" selected="0">
            <x v="10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52">
      <pivotArea dataOnly="0" labelOnly="1" outline="0" fieldPosition="0">
        <references count="5">
          <reference field="3" count="1" selected="0">
            <x v="174"/>
          </reference>
          <reference field="5" count="1" selected="0">
            <x v="56"/>
          </reference>
          <reference field="10" count="1" selected="0">
            <x v="2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51">
      <pivotArea dataOnly="0" labelOnly="1" outline="0" fieldPosition="0">
        <references count="5">
          <reference field="3" count="1" selected="0">
            <x v="175"/>
          </reference>
          <reference field="5" count="1" selected="0">
            <x v="62"/>
          </reference>
          <reference field="10" count="1" selected="0">
            <x v="17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50">
      <pivotArea dataOnly="0" labelOnly="1" outline="0" fieldPosition="0">
        <references count="5">
          <reference field="3" count="1" selected="0">
            <x v="176"/>
          </reference>
          <reference field="5" count="1" selected="0">
            <x v="73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49">
      <pivotArea dataOnly="0" labelOnly="1" outline="0" fieldPosition="0">
        <references count="5">
          <reference field="3" count="1" selected="0">
            <x v="178"/>
          </reference>
          <reference field="5" count="1" selected="0">
            <x v="63"/>
          </reference>
          <reference field="10" count="1" selected="0">
            <x v="17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648">
      <pivotArea dataOnly="0" labelOnly="1" outline="0" fieldPosition="0">
        <references count="5">
          <reference field="3" count="1" selected="0">
            <x v="182"/>
          </reference>
          <reference field="5" count="1" selected="0">
            <x v="10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47">
      <pivotArea dataOnly="0" labelOnly="1" outline="0" fieldPosition="0">
        <references count="5">
          <reference field="3" count="1" selected="0">
            <x v="183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646">
      <pivotArea dataOnly="0" labelOnly="1" outline="0" fieldPosition="0">
        <references count="5">
          <reference field="3" count="1" selected="0">
            <x v="184"/>
          </reference>
          <reference field="5" count="1" selected="0">
            <x v="86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645">
      <pivotArea dataOnly="0" labelOnly="1" outline="0" fieldPosition="0">
        <references count="5">
          <reference field="3" count="1" selected="0">
            <x v="0"/>
          </reference>
          <reference field="5" count="1" selected="0">
            <x v="19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44">
      <pivotArea dataOnly="0" labelOnly="1" outline="0" fieldPosition="0">
        <references count="5">
          <reference field="3" count="1" selected="0">
            <x v="3"/>
          </reference>
          <reference field="5" count="1" selected="0">
            <x v="48"/>
          </reference>
          <reference field="10" count="1" selected="0">
            <x v="23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43">
      <pivotArea dataOnly="0" labelOnly="1" outline="0" fieldPosition="0">
        <references count="5">
          <reference field="3" count="1" selected="0">
            <x v="6"/>
          </reference>
          <reference field="5" count="1" selected="0">
            <x v="31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42">
      <pivotArea dataOnly="0" labelOnly="1" outline="0" fieldPosition="0">
        <references count="5">
          <reference field="3" count="1" selected="0">
            <x v="7"/>
          </reference>
          <reference field="5" count="1" selected="0">
            <x v="25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41">
      <pivotArea dataOnly="0" labelOnly="1" outline="0" fieldPosition="0">
        <references count="5">
          <reference field="3" count="1" selected="0">
            <x v="8"/>
          </reference>
          <reference field="5" count="1" selected="0">
            <x v="44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40">
      <pivotArea dataOnly="0" labelOnly="1" outline="0" fieldPosition="0">
        <references count="5">
          <reference field="3" count="1" selected="0">
            <x v="9"/>
          </reference>
          <reference field="5" count="1" selected="0">
            <x v="55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39">
      <pivotArea dataOnly="0" labelOnly="1" outline="0" fieldPosition="0">
        <references count="5">
          <reference field="3" count="1" selected="0">
            <x v="11"/>
          </reference>
          <reference field="5" count="1" selected="0">
            <x v="16"/>
          </reference>
          <reference field="10" count="1" selected="0">
            <x v="34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38">
      <pivotArea dataOnly="0" labelOnly="1" outline="0" fieldPosition="0">
        <references count="5">
          <reference field="3" count="1" selected="0">
            <x v="12"/>
          </reference>
          <reference field="5" count="1" selected="0">
            <x v="34"/>
          </reference>
          <reference field="10" count="1" selected="0">
            <x v="27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637">
      <pivotArea dataOnly="0" labelOnly="1" outline="0" fieldPosition="0">
        <references count="5">
          <reference field="3" count="1" selected="0">
            <x v="15"/>
          </reference>
          <reference field="5" count="1" selected="0">
            <x v="33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36">
      <pivotArea dataOnly="0" labelOnly="1" outline="0" fieldPosition="0">
        <references count="5">
          <reference field="3" count="1" selected="0">
            <x v="18"/>
          </reference>
          <reference field="5" count="1" selected="0">
            <x v="42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35">
      <pivotArea dataOnly="0" labelOnly="1" outline="0" fieldPosition="0">
        <references count="5">
          <reference field="3" count="1" selected="0">
            <x v="26"/>
          </reference>
          <reference field="5" count="1" selected="0">
            <x v="55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34">
      <pivotArea dataOnly="0" labelOnly="1" outline="0" fieldPosition="0">
        <references count="5">
          <reference field="3" count="1" selected="0">
            <x v="29"/>
          </reference>
          <reference field="5" count="1" selected="0">
            <x v="40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33">
      <pivotArea dataOnly="0" labelOnly="1" outline="0" fieldPosition="0">
        <references count="5">
          <reference field="3" count="1" selected="0">
            <x v="32"/>
          </reference>
          <reference field="5" count="1" selected="0">
            <x v="21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32">
      <pivotArea dataOnly="0" labelOnly="1" outline="0" fieldPosition="0">
        <references count="5">
          <reference field="3" count="1" selected="0">
            <x v="33"/>
          </reference>
          <reference field="5" count="1" selected="0">
            <x v="17"/>
          </reference>
          <reference field="10" count="1" selected="0">
            <x v="33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31">
      <pivotArea dataOnly="0" labelOnly="1" outline="0" fieldPosition="0">
        <references count="5">
          <reference field="3" count="1" selected="0">
            <x v="39"/>
          </reference>
          <reference field="5" count="1" selected="0">
            <x v="27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30">
      <pivotArea dataOnly="0" labelOnly="1" outline="0" fieldPosition="0">
        <references count="5">
          <reference field="3" count="1" selected="0">
            <x v="44"/>
          </reference>
          <reference field="5" count="1" selected="0">
            <x v="46"/>
          </reference>
          <reference field="10" count="1" selected="0">
            <x v="24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629">
      <pivotArea dataOnly="0" labelOnly="1" outline="0" fieldPosition="0">
        <references count="5">
          <reference field="3" count="1" selected="0">
            <x v="46"/>
          </reference>
          <reference field="5" count="1" selected="0">
            <x v="41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28">
      <pivotArea dataOnly="0" labelOnly="1" outline="0" fieldPosition="0">
        <references count="5">
          <reference field="3" count="1" selected="0">
            <x v="47"/>
          </reference>
          <reference field="5" count="1" selected="0">
            <x v="46"/>
          </reference>
          <reference field="10" count="1" selected="0">
            <x v="24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27">
      <pivotArea dataOnly="0" labelOnly="1" outline="0" fieldPosition="0">
        <references count="5">
          <reference field="3" count="1" selected="0">
            <x v="50"/>
          </reference>
          <reference field="5" count="1" selected="0">
            <x v="47"/>
          </reference>
          <reference field="10" count="1" selected="0">
            <x v="24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626">
      <pivotArea dataOnly="0" labelOnly="1" outline="0" fieldPosition="0">
        <references count="5">
          <reference field="3" count="1" selected="0">
            <x v="52"/>
          </reference>
          <reference field="5" count="1" selected="0">
            <x v="32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625">
      <pivotArea dataOnly="0" labelOnly="1" outline="0" fieldPosition="0">
        <references count="5">
          <reference field="3" count="1" selected="0">
            <x v="53"/>
          </reference>
          <reference field="5" count="1" selected="0">
            <x v="18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624">
      <pivotArea dataOnly="0" labelOnly="1" outline="0" fieldPosition="0">
        <references count="5">
          <reference field="3" count="1" selected="0">
            <x v="60"/>
          </reference>
          <reference field="5" count="1" selected="0">
            <x v="26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23">
      <pivotArea dataOnly="0" labelOnly="1" outline="0" fieldPosition="0">
        <references count="5">
          <reference field="3" count="1" selected="0">
            <x v="61"/>
          </reference>
          <reference field="5" count="1" selected="0">
            <x v="53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2"/>
          </reference>
        </references>
      </pivotArea>
    </format>
    <format dxfId="622">
      <pivotArea dataOnly="0" labelOnly="1" outline="0" fieldPosition="0">
        <references count="5">
          <reference field="3" count="1" selected="0">
            <x v="62"/>
          </reference>
          <reference field="5" count="1" selected="0">
            <x v="13"/>
          </reference>
          <reference field="10" count="1" selected="0">
            <x v="35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21">
      <pivotArea dataOnly="0" labelOnly="1" outline="0" fieldPosition="0">
        <references count="5">
          <reference field="3" count="1" selected="0">
            <x v="63"/>
          </reference>
          <reference field="5" count="1" selected="0">
            <x v="39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20">
      <pivotArea dataOnly="0" labelOnly="1" outline="0" fieldPosition="0">
        <references count="5">
          <reference field="3" count="1" selected="0">
            <x v="67"/>
          </reference>
          <reference field="5" count="1" selected="0">
            <x v="42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19">
      <pivotArea dataOnly="0" labelOnly="1" outline="0" fieldPosition="0">
        <references count="5">
          <reference field="3" count="1" selected="0">
            <x v="68"/>
          </reference>
          <reference field="5" count="1" selected="0">
            <x v="42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18">
      <pivotArea dataOnly="0" labelOnly="1" outline="0" fieldPosition="0">
        <references count="5">
          <reference field="3" count="1" selected="0">
            <x v="69"/>
          </reference>
          <reference field="5" count="1" selected="0">
            <x v="32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617">
      <pivotArea dataOnly="0" labelOnly="1" outline="0" fieldPosition="0">
        <references count="5">
          <reference field="3" count="1" selected="0">
            <x v="75"/>
          </reference>
          <reference field="5" count="1" selected="0">
            <x v="26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16">
      <pivotArea dataOnly="0" labelOnly="1" outline="0" fieldPosition="0">
        <references count="5">
          <reference field="3" count="1" selected="0">
            <x v="76"/>
          </reference>
          <reference field="5" count="1" selected="0">
            <x v="36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15">
      <pivotArea dataOnly="0" labelOnly="1" outline="0" fieldPosition="0">
        <references count="5">
          <reference field="3" count="1" selected="0">
            <x v="77"/>
          </reference>
          <reference field="5" count="1" selected="0">
            <x v="37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14">
      <pivotArea dataOnly="0" labelOnly="1" outline="0" fieldPosition="0">
        <references count="5">
          <reference field="3" count="1" selected="0">
            <x v="83"/>
          </reference>
          <reference field="5" count="1" selected="0">
            <x v="11"/>
          </reference>
          <reference field="10" count="1" selected="0">
            <x v="36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613">
      <pivotArea dataOnly="0" labelOnly="1" outline="0" fieldPosition="0">
        <references count="5">
          <reference field="3" count="1" selected="0">
            <x v="95"/>
          </reference>
          <reference field="5" count="1" selected="0">
            <x v="24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12">
      <pivotArea dataOnly="0" labelOnly="1" outline="0" fieldPosition="0">
        <references count="5">
          <reference field="3" count="1" selected="0">
            <x v="97"/>
          </reference>
          <reference field="5" count="1" selected="0">
            <x v="32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11">
      <pivotArea dataOnly="0" labelOnly="1" outline="0" fieldPosition="0">
        <references count="5">
          <reference field="3" count="1" selected="0">
            <x v="98"/>
          </reference>
          <reference field="5" count="1" selected="0">
            <x v="23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10">
      <pivotArea dataOnly="0" labelOnly="1" outline="0" fieldPosition="0">
        <references count="5">
          <reference field="3" count="1" selected="0">
            <x v="99"/>
          </reference>
          <reference field="5" count="1" selected="0">
            <x v="18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609">
      <pivotArea dataOnly="0" labelOnly="1" outline="0" fieldPosition="0">
        <references count="5">
          <reference field="3" count="1" selected="0">
            <x v="103"/>
          </reference>
          <reference field="5" count="1" selected="0">
            <x v="19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608">
      <pivotArea dataOnly="0" labelOnly="1" outline="0" fieldPosition="0">
        <references count="5">
          <reference field="3" count="1" selected="0">
            <x v="109"/>
          </reference>
          <reference field="5" count="1" selected="0">
            <x v="50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07">
      <pivotArea dataOnly="0" labelOnly="1" outline="0" fieldPosition="0">
        <references count="5">
          <reference field="3" count="1" selected="0">
            <x v="110"/>
          </reference>
          <reference field="5" count="1" selected="0">
            <x v="33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06">
      <pivotArea dataOnly="0" labelOnly="1" outline="0" fieldPosition="0">
        <references count="5">
          <reference field="3" count="1" selected="0">
            <x v="111"/>
          </reference>
          <reference field="5" count="1" selected="0">
            <x v="51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05">
      <pivotArea dataOnly="0" labelOnly="1" outline="0" fieldPosition="0">
        <references count="5">
          <reference field="3" count="1" selected="0">
            <x v="113"/>
          </reference>
          <reference field="5" count="1" selected="0">
            <x v="55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04">
      <pivotArea dataOnly="0" labelOnly="1" outline="0" fieldPosition="0">
        <references count="5">
          <reference field="3" count="1" selected="0">
            <x v="115"/>
          </reference>
          <reference field="5" count="1" selected="0">
            <x v="28"/>
          </reference>
          <reference field="10" count="1" selected="0">
            <x v="30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03">
      <pivotArea dataOnly="0" labelOnly="1" outline="0" fieldPosition="0">
        <references count="5">
          <reference field="3" count="1" selected="0">
            <x v="117"/>
          </reference>
          <reference field="5" count="1" selected="0">
            <x v="15"/>
          </reference>
          <reference field="10" count="1" selected="0">
            <x v="34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602">
      <pivotArea dataOnly="0" labelOnly="1" outline="0" fieldPosition="0">
        <references count="5">
          <reference field="3" count="1" selected="0">
            <x v="119"/>
          </reference>
          <reference field="5" count="1" selected="0">
            <x v="24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01">
      <pivotArea dataOnly="0" labelOnly="1" outline="0" fieldPosition="0">
        <references count="5">
          <reference field="3" count="1" selected="0">
            <x v="125"/>
          </reference>
          <reference field="5" count="1" selected="0">
            <x v="49"/>
          </reference>
          <reference field="10" count="1" selected="0">
            <x v="23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600">
      <pivotArea dataOnly="0" labelOnly="1" outline="0" fieldPosition="0">
        <references count="5">
          <reference field="3" count="1" selected="0">
            <x v="127"/>
          </reference>
          <reference field="5" count="1" selected="0">
            <x v="40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99">
      <pivotArea dataOnly="0" labelOnly="1" outline="0" fieldPosition="0">
        <references count="5">
          <reference field="3" count="1" selected="0">
            <x v="129"/>
          </reference>
          <reference field="5" count="1" selected="0">
            <x v="53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98">
      <pivotArea dataOnly="0" labelOnly="1" outline="0" fieldPosition="0">
        <references count="5">
          <reference field="3" count="1" selected="0">
            <x v="130"/>
          </reference>
          <reference field="5" count="1" selected="0">
            <x v="54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97">
      <pivotArea dataOnly="0" labelOnly="1" outline="0" fieldPosition="0">
        <references count="5">
          <reference field="3" count="1" selected="0">
            <x v="131"/>
          </reference>
          <reference field="5" count="1" selected="0">
            <x v="29"/>
          </reference>
          <reference field="10" count="1" selected="0">
            <x v="30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596">
      <pivotArea dataOnly="0" labelOnly="1" outline="0" fieldPosition="0">
        <references count="5">
          <reference field="3" count="1" selected="0">
            <x v="133"/>
          </reference>
          <reference field="5" count="1" selected="0">
            <x v="34"/>
          </reference>
          <reference field="10" count="1" selected="0">
            <x v="27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95">
      <pivotArea dataOnly="0" labelOnly="1" outline="0" fieldPosition="0">
        <references count="5">
          <reference field="3" count="1" selected="0">
            <x v="135"/>
          </reference>
          <reference field="5" count="1" selected="0">
            <x v="37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94">
      <pivotArea dataOnly="0" labelOnly="1" outline="0" fieldPosition="0">
        <references count="5">
          <reference field="3" count="1" selected="0">
            <x v="137"/>
          </reference>
          <reference field="5" count="1" selected="0">
            <x v="22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593">
      <pivotArea dataOnly="0" labelOnly="1" outline="0" fieldPosition="0">
        <references count="5">
          <reference field="3" count="1" selected="0">
            <x v="139"/>
          </reference>
          <reference field="5" count="1" selected="0">
            <x v="14"/>
          </reference>
          <reference field="10" count="1" selected="0">
            <x v="35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592">
      <pivotArea dataOnly="0" labelOnly="1" outline="0" fieldPosition="0">
        <references count="5">
          <reference field="3" count="1" selected="0">
            <x v="141"/>
          </reference>
          <reference field="5" count="1" selected="0">
            <x v="35"/>
          </reference>
          <reference field="10" count="1" selected="0">
            <x v="27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591">
      <pivotArea dataOnly="0" labelOnly="1" outline="0" fieldPosition="0">
        <references count="5">
          <reference field="3" count="1" selected="0">
            <x v="146"/>
          </reference>
          <reference field="5" count="1" selected="0">
            <x v="50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90">
      <pivotArea dataOnly="0" labelOnly="1" outline="0" fieldPosition="0">
        <references count="5">
          <reference field="3" count="1" selected="0">
            <x v="147"/>
          </reference>
          <reference field="5" count="1" selected="0">
            <x v="52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89">
      <pivotArea dataOnly="0" labelOnly="1" outline="0" fieldPosition="0">
        <references count="5">
          <reference field="3" count="1" selected="0">
            <x v="148"/>
          </reference>
          <reference field="5" count="1" selected="0">
            <x v="55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88">
      <pivotArea dataOnly="0" labelOnly="1" outline="0" fieldPosition="0">
        <references count="5">
          <reference field="3" count="1" selected="0">
            <x v="151"/>
          </reference>
          <reference field="5" count="1" selected="0">
            <x v="36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87">
      <pivotArea dataOnly="0" labelOnly="1" outline="0" fieldPosition="0">
        <references count="5">
          <reference field="3" count="1" selected="0">
            <x v="156"/>
          </reference>
          <reference field="5" count="1" selected="0">
            <x v="48"/>
          </reference>
          <reference field="10" count="1" selected="0">
            <x v="23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86">
      <pivotArea dataOnly="0" labelOnly="1" outline="0" fieldPosition="0">
        <references count="5">
          <reference field="3" count="1" selected="0">
            <x v="159"/>
          </reference>
          <reference field="5" count="1" selected="0">
            <x v="31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85">
      <pivotArea dataOnly="0" labelOnly="1" outline="0" fieldPosition="0">
        <references count="5">
          <reference field="3" count="1" selected="0">
            <x v="166"/>
          </reference>
          <reference field="5" count="1" selected="0">
            <x v="20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84">
      <pivotArea dataOnly="0" labelOnly="1" outline="0" fieldPosition="0">
        <references count="5">
          <reference field="3" count="1" selected="0">
            <x v="168"/>
          </reference>
          <reference field="5" count="1" selected="0">
            <x v="45"/>
          </reference>
          <reference field="10" count="1" selected="0">
            <x v="24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83">
      <pivotArea dataOnly="0" labelOnly="1" outline="0" fieldPosition="0">
        <references count="5">
          <reference field="3" count="1" selected="0">
            <x v="170"/>
          </reference>
          <reference field="5" count="1" selected="0">
            <x v="23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582">
      <pivotArea dataOnly="0" labelOnly="1" outline="0" fieldPosition="0">
        <references count="5">
          <reference field="3" count="1" selected="0">
            <x v="172"/>
          </reference>
          <reference field="5" count="1" selected="0">
            <x v="48"/>
          </reference>
          <reference field="10" count="1" selected="0">
            <x v="23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81">
      <pivotArea dataOnly="0" labelOnly="1" outline="0" fieldPosition="0">
        <references count="5">
          <reference field="3" count="1" selected="0">
            <x v="173"/>
          </reference>
          <reference field="5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580">
      <pivotArea dataOnly="0" labelOnly="1" outline="0" fieldPosition="0">
        <references count="5">
          <reference field="3" count="1" selected="0">
            <x v="177"/>
          </reference>
          <reference field="5" count="1" selected="0">
            <x v="43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79">
      <pivotArea dataOnly="0" labelOnly="1" outline="0" fieldPosition="0">
        <references count="5">
          <reference field="3" count="1" selected="0">
            <x v="179"/>
          </reference>
          <reference field="5" count="1" selected="0">
            <x v="38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78">
      <pivotArea dataOnly="0" labelOnly="1" outline="0" fieldPosition="0">
        <references count="5">
          <reference field="3" count="1" selected="0">
            <x v="181"/>
          </reference>
          <reference field="5" count="1" selected="0">
            <x v="12"/>
          </reference>
          <reference field="10" count="1" selected="0">
            <x v="35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577">
      <pivotArea dataOnly="0" labelOnly="1" outline="0" fieldPosition="0">
        <references count="5">
          <reference field="3" count="1" selected="0">
            <x v="185"/>
          </reference>
          <reference field="5" count="1" selected="0">
            <x v="36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76">
      <pivotArea dataOnly="0" labelOnly="1" outline="0" fieldPosition="0">
        <references count="5">
          <reference field="3" count="1" selected="0">
            <x v="1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575">
      <pivotArea dataOnly="0" labelOnly="1" outline="0" fieldPosition="0">
        <references count="5">
          <reference field="3" count="1" selected="0">
            <x v="14"/>
          </reference>
          <reference field="5" count="1" selected="0">
            <x v="9"/>
          </reference>
          <reference field="10" count="1" selected="0">
            <x v="38"/>
          </reference>
          <reference field="11" count="1" selected="0">
            <x v="2"/>
          </reference>
          <reference field="12" count="1">
            <x v="3"/>
          </reference>
        </references>
      </pivotArea>
    </format>
    <format dxfId="574">
      <pivotArea dataOnly="0" labelOnly="1" outline="0" fieldPosition="0">
        <references count="5">
          <reference field="3" count="1" selected="0">
            <x v="17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573">
      <pivotArea dataOnly="0" labelOnly="1" outline="0" fieldPosition="0">
        <references count="5">
          <reference field="3" count="1" selected="0">
            <x v="19"/>
          </reference>
          <reference field="5" count="1" selected="0">
            <x v="1"/>
          </reference>
          <reference field="10" count="1" selected="0">
            <x v="42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572">
      <pivotArea dataOnly="0" labelOnly="1" outline="0" fieldPosition="0">
        <references count="5">
          <reference field="3" count="1" selected="0">
            <x v="21"/>
          </reference>
          <reference field="5" count="1" selected="0">
            <x v="8"/>
          </reference>
          <reference field="10" count="1" selected="0">
            <x v="38"/>
          </reference>
          <reference field="11" count="1" selected="0">
            <x v="2"/>
          </reference>
          <reference field="12" count="1">
            <x v="3"/>
          </reference>
        </references>
      </pivotArea>
    </format>
    <format dxfId="571">
      <pivotArea dataOnly="0" labelOnly="1" outline="0" fieldPosition="0">
        <references count="5">
          <reference field="3" count="1" selected="0">
            <x v="40"/>
          </reference>
          <reference field="5" count="1" selected="0">
            <x v="6"/>
          </reference>
          <reference field="10" count="1" selected="0">
            <x v="39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570">
      <pivotArea dataOnly="0" labelOnly="1" outline="0" fieldPosition="0">
        <references count="5">
          <reference field="3" count="1" selected="0">
            <x v="43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1"/>
          </reference>
        </references>
      </pivotArea>
    </format>
    <format dxfId="569">
      <pivotArea dataOnly="0" labelOnly="1" outline="0" fieldPosition="0">
        <references count="5">
          <reference field="3" count="1" selected="0">
            <x v="51"/>
          </reference>
          <reference field="5" count="1" selected="0">
            <x v="2"/>
          </reference>
          <reference field="10" count="1" selected="0">
            <x v="42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568">
      <pivotArea dataOnly="0" labelOnly="1" outline="0" fieldPosition="0">
        <references count="5">
          <reference field="3" count="1" selected="0">
            <x v="56"/>
          </reference>
          <reference field="5" count="1" selected="0">
            <x v="10"/>
          </reference>
          <reference field="10" count="1" selected="0">
            <x v="37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567">
      <pivotArea dataOnly="0" labelOnly="1" outline="0" fieldPosition="0">
        <references count="5">
          <reference field="3" count="1" selected="0">
            <x v="57"/>
          </reference>
          <reference field="5" count="1" selected="0">
            <x v="7"/>
          </reference>
          <reference field="10" count="1" selected="0">
            <x v="38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566">
      <pivotArea dataOnly="0" labelOnly="1" outline="0" fieldPosition="0">
        <references count="5">
          <reference field="3" count="1" selected="0">
            <x v="70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565">
      <pivotArea dataOnly="0" labelOnly="1" outline="0" fieldPosition="0">
        <references count="5">
          <reference field="3" count="1" selected="0">
            <x v="72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564">
      <pivotArea dataOnly="0" labelOnly="1" outline="0" fieldPosition="0">
        <references count="5">
          <reference field="3" count="1" selected="0">
            <x v="74"/>
          </reference>
          <reference field="5" count="1" selected="0">
            <x v="3"/>
          </reference>
          <reference field="10" count="1" selected="0">
            <x v="41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563">
      <pivotArea dataOnly="0" labelOnly="1" outline="0" fieldPosition="0">
        <references count="5">
          <reference field="3" count="1" selected="0">
            <x v="79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562">
      <pivotArea dataOnly="0" labelOnly="1" outline="0" fieldPosition="0">
        <references count="5">
          <reference field="3" count="1" selected="0">
            <x v="104"/>
          </reference>
          <reference field="5" count="1" selected="0">
            <x v="9"/>
          </reference>
          <reference field="10" count="1" selected="0">
            <x v="38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561">
      <pivotArea dataOnly="0" labelOnly="1" outline="0" fieldPosition="0">
        <references count="5">
          <reference field="3" count="1" selected="0">
            <x v="105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560">
      <pivotArea dataOnly="0" labelOnly="1" outline="0" fieldPosition="0">
        <references count="5">
          <reference field="3" count="1" selected="0">
            <x v="108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1"/>
          </reference>
        </references>
      </pivotArea>
    </format>
    <format dxfId="559">
      <pivotArea dataOnly="0" labelOnly="1" outline="0" fieldPosition="0">
        <references count="5">
          <reference field="3" count="1" selected="0">
            <x v="134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558">
      <pivotArea dataOnly="0" labelOnly="1" outline="0" fieldPosition="0">
        <references count="5">
          <reference field="3" count="1" selected="0">
            <x v="149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557">
      <pivotArea dataOnly="0" labelOnly="1" outline="0" fieldPosition="0">
        <references count="5">
          <reference field="3" count="1" selected="0">
            <x v="162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556">
      <pivotArea dataOnly="0" labelOnly="1" outline="0" fieldPosition="0">
        <references count="5">
          <reference field="3" count="1" selected="0">
            <x v="165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555">
      <pivotArea dataOnly="0" labelOnly="1" outline="0" fieldPosition="0">
        <references count="5">
          <reference field="3" count="1" selected="0">
            <x v="171"/>
          </reference>
          <reference field="5" count="1" selected="0">
            <x v="5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1"/>
          </reference>
        </references>
      </pivotArea>
    </format>
    <format dxfId="554">
      <pivotArea dataOnly="0" labelOnly="1" outline="0" fieldPosition="0">
        <references count="5">
          <reference field="3" count="1" selected="0">
            <x v="180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1"/>
          </reference>
        </references>
      </pivotArea>
    </format>
    <format dxfId="553">
      <pivotArea dataOnly="0" labelOnly="1" outline="0" axis="axisValues" fieldPosition="0"/>
    </format>
    <format dxfId="552">
      <pivotArea type="all" dataOnly="0" outline="0" fieldPosition="0"/>
    </format>
    <format dxfId="551">
      <pivotArea outline="0" collapsedLevelsAreSubtotals="1" fieldPosition="0"/>
    </format>
    <format dxfId="550">
      <pivotArea field="11" type="button" dataOnly="0" labelOnly="1" outline="0" axis="axisRow" fieldPosition="0"/>
    </format>
    <format dxfId="549">
      <pivotArea field="3" type="button" dataOnly="0" labelOnly="1" outline="0" axis="axisRow" fieldPosition="1"/>
    </format>
    <format dxfId="548">
      <pivotArea field="5" type="button" dataOnly="0" labelOnly="1" outline="0" axis="axisRow" fieldPosition="2"/>
    </format>
    <format dxfId="547">
      <pivotArea field="10" type="button" dataOnly="0" labelOnly="1" outline="0" axis="axisRow" fieldPosition="3"/>
    </format>
    <format dxfId="546">
      <pivotArea field="12" type="button" dataOnly="0" labelOnly="1" outline="0" axis="axisRow" fieldPosition="4"/>
    </format>
    <format dxfId="545">
      <pivotArea dataOnly="0" labelOnly="1" outline="0" fieldPosition="0">
        <references count="1">
          <reference field="11" count="0"/>
        </references>
      </pivotArea>
    </format>
    <format dxfId="544">
      <pivotArea dataOnly="0" labelOnly="1" outline="0" fieldPosition="0">
        <references count="1">
          <reference field="11" count="0" defaultSubtotal="1"/>
        </references>
      </pivotArea>
    </format>
    <format dxfId="543">
      <pivotArea dataOnly="0" labelOnly="1" grandRow="1" outline="0" fieldPosition="0"/>
    </format>
    <format dxfId="542">
      <pivotArea dataOnly="0" labelOnly="1" outline="0" fieldPosition="0">
        <references count="2">
          <reference field="3" count="50">
            <x v="2"/>
            <x v="4"/>
            <x v="5"/>
            <x v="10"/>
            <x v="13"/>
            <x v="16"/>
            <x v="20"/>
            <x v="22"/>
            <x v="23"/>
            <x v="24"/>
            <x v="25"/>
            <x v="27"/>
            <x v="28"/>
            <x v="30"/>
            <x v="31"/>
            <x v="34"/>
            <x v="35"/>
            <x v="36"/>
            <x v="37"/>
            <x v="38"/>
            <x v="41"/>
            <x v="42"/>
            <x v="45"/>
            <x v="48"/>
            <x v="49"/>
            <x v="54"/>
            <x v="55"/>
            <x v="58"/>
            <x v="59"/>
            <x v="64"/>
            <x v="65"/>
            <x v="66"/>
            <x v="71"/>
            <x v="73"/>
            <x v="78"/>
            <x v="80"/>
            <x v="81"/>
            <x v="82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6"/>
          </reference>
          <reference field="11" count="1" selected="0">
            <x v="0"/>
          </reference>
        </references>
      </pivotArea>
    </format>
    <format dxfId="541">
      <pivotArea dataOnly="0" labelOnly="1" outline="0" fieldPosition="0">
        <references count="2">
          <reference field="3" count="44">
            <x v="100"/>
            <x v="101"/>
            <x v="102"/>
            <x v="106"/>
            <x v="107"/>
            <x v="112"/>
            <x v="114"/>
            <x v="116"/>
            <x v="118"/>
            <x v="120"/>
            <x v="121"/>
            <x v="122"/>
            <x v="123"/>
            <x v="124"/>
            <x v="126"/>
            <x v="128"/>
            <x v="132"/>
            <x v="136"/>
            <x v="138"/>
            <x v="140"/>
            <x v="142"/>
            <x v="143"/>
            <x v="144"/>
            <x v="145"/>
            <x v="150"/>
            <x v="152"/>
            <x v="153"/>
            <x v="154"/>
            <x v="155"/>
            <x v="157"/>
            <x v="158"/>
            <x v="160"/>
            <x v="161"/>
            <x v="163"/>
            <x v="164"/>
            <x v="167"/>
            <x v="169"/>
            <x v="174"/>
            <x v="175"/>
            <x v="176"/>
            <x v="178"/>
            <x v="182"/>
            <x v="183"/>
            <x v="184"/>
          </reference>
          <reference field="11" count="1" selected="0">
            <x v="0"/>
          </reference>
        </references>
      </pivotArea>
    </format>
    <format dxfId="540">
      <pivotArea dataOnly="0" labelOnly="1" outline="0" fieldPosition="0">
        <references count="2">
          <reference field="3" count="50">
            <x v="0"/>
            <x v="3"/>
            <x v="6"/>
            <x v="7"/>
            <x v="8"/>
            <x v="9"/>
            <x v="11"/>
            <x v="12"/>
            <x v="15"/>
            <x v="18"/>
            <x v="26"/>
            <x v="29"/>
            <x v="32"/>
            <x v="33"/>
            <x v="39"/>
            <x v="44"/>
            <x v="46"/>
            <x v="47"/>
            <x v="50"/>
            <x v="52"/>
            <x v="53"/>
            <x v="60"/>
            <x v="61"/>
            <x v="62"/>
            <x v="63"/>
            <x v="67"/>
            <x v="68"/>
            <x v="69"/>
            <x v="75"/>
            <x v="76"/>
            <x v="77"/>
            <x v="83"/>
            <x v="95"/>
            <x v="97"/>
            <x v="98"/>
            <x v="99"/>
            <x v="103"/>
            <x v="109"/>
            <x v="110"/>
            <x v="111"/>
            <x v="113"/>
            <x v="115"/>
            <x v="117"/>
            <x v="119"/>
            <x v="125"/>
            <x v="127"/>
            <x v="129"/>
            <x v="130"/>
            <x v="131"/>
            <x v="133"/>
          </reference>
          <reference field="11" count="1" selected="0">
            <x v="1"/>
          </reference>
        </references>
      </pivotArea>
    </format>
    <format dxfId="539">
      <pivotArea dataOnly="0" labelOnly="1" outline="0" fieldPosition="0">
        <references count="2">
          <reference field="3" count="19">
            <x v="135"/>
            <x v="137"/>
            <x v="139"/>
            <x v="141"/>
            <x v="146"/>
            <x v="147"/>
            <x v="148"/>
            <x v="151"/>
            <x v="156"/>
            <x v="159"/>
            <x v="166"/>
            <x v="168"/>
            <x v="170"/>
            <x v="172"/>
            <x v="173"/>
            <x v="177"/>
            <x v="179"/>
            <x v="181"/>
            <x v="185"/>
          </reference>
          <reference field="11" count="1" selected="0">
            <x v="1"/>
          </reference>
        </references>
      </pivotArea>
    </format>
    <format dxfId="538">
      <pivotArea dataOnly="0" labelOnly="1" outline="0" fieldPosition="0">
        <references count="2">
          <reference field="3" count="23">
            <x v="1"/>
            <x v="14"/>
            <x v="17"/>
            <x v="19"/>
            <x v="21"/>
            <x v="40"/>
            <x v="43"/>
            <x v="51"/>
            <x v="56"/>
            <x v="57"/>
            <x v="70"/>
            <x v="72"/>
            <x v="74"/>
            <x v="79"/>
            <x v="104"/>
            <x v="105"/>
            <x v="108"/>
            <x v="134"/>
            <x v="149"/>
            <x v="162"/>
            <x v="165"/>
            <x v="171"/>
            <x v="180"/>
          </reference>
          <reference field="11" count="1" selected="0">
            <x v="2"/>
          </reference>
        </references>
      </pivotArea>
    </format>
    <format dxfId="537">
      <pivotArea dataOnly="0" labelOnly="1" outline="0" fieldPosition="0">
        <references count="3">
          <reference field="3" count="1" selected="0">
            <x v="2"/>
          </reference>
          <reference field="5" count="1">
            <x v="58"/>
          </reference>
          <reference field="11" count="1" selected="0">
            <x v="0"/>
          </reference>
        </references>
      </pivotArea>
    </format>
    <format dxfId="536">
      <pivotArea dataOnly="0" labelOnly="1" outline="0" fieldPosition="0">
        <references count="3">
          <reference field="3" count="1" selected="0">
            <x v="4"/>
          </reference>
          <reference field="5" count="1">
            <x v="59"/>
          </reference>
          <reference field="11" count="1" selected="0">
            <x v="0"/>
          </reference>
        </references>
      </pivotArea>
    </format>
    <format dxfId="535">
      <pivotArea dataOnly="0" labelOnly="1" outline="0" fieldPosition="0">
        <references count="3">
          <reference field="3" count="1" selected="0">
            <x v="5"/>
          </reference>
          <reference field="5" count="1">
            <x v="70"/>
          </reference>
          <reference field="11" count="1" selected="0">
            <x v="0"/>
          </reference>
        </references>
      </pivotArea>
    </format>
    <format dxfId="534">
      <pivotArea dataOnly="0" labelOnly="1" outline="0" fieldPosition="0">
        <references count="3">
          <reference field="3" count="1" selected="0">
            <x v="10"/>
          </reference>
          <reference field="5" count="1">
            <x v="71"/>
          </reference>
          <reference field="11" count="1" selected="0">
            <x v="0"/>
          </reference>
        </references>
      </pivotArea>
    </format>
    <format dxfId="533">
      <pivotArea dataOnly="0" labelOnly="1" outline="0" fieldPosition="0">
        <references count="3">
          <reference field="3" count="1" selected="0">
            <x v="13"/>
          </reference>
          <reference field="5" count="1">
            <x v="83"/>
          </reference>
          <reference field="11" count="1" selected="0">
            <x v="0"/>
          </reference>
        </references>
      </pivotArea>
    </format>
    <format dxfId="532">
      <pivotArea dataOnly="0" labelOnly="1" outline="0" fieldPosition="0">
        <references count="3">
          <reference field="3" count="1" selected="0">
            <x v="16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531">
      <pivotArea dataOnly="0" labelOnly="1" outline="0" fieldPosition="0">
        <references count="3">
          <reference field="3" count="1" selected="0">
            <x v="20"/>
          </reference>
          <reference field="5" count="1">
            <x v="72"/>
          </reference>
          <reference field="11" count="1" selected="0">
            <x v="0"/>
          </reference>
        </references>
      </pivotArea>
    </format>
    <format dxfId="530">
      <pivotArea dataOnly="0" labelOnly="1" outline="0" fieldPosition="0">
        <references count="3">
          <reference field="3" count="1" selected="0">
            <x v="22"/>
          </reference>
          <reference field="5" count="1">
            <x v="67"/>
          </reference>
          <reference field="11" count="1" selected="0">
            <x v="0"/>
          </reference>
        </references>
      </pivotArea>
    </format>
    <format dxfId="529">
      <pivotArea dataOnly="0" labelOnly="1" outline="0" fieldPosition="0">
        <references count="3">
          <reference field="3" count="1" selected="0">
            <x v="23"/>
          </reference>
          <reference field="5" count="1">
            <x v="93"/>
          </reference>
          <reference field="11" count="1" selected="0">
            <x v="0"/>
          </reference>
        </references>
      </pivotArea>
    </format>
    <format dxfId="528">
      <pivotArea dataOnly="0" labelOnly="1" outline="0" fieldPosition="0">
        <references count="3">
          <reference field="3" count="1" selected="0">
            <x v="24"/>
          </reference>
          <reference field="5" count="1">
            <x v="82"/>
          </reference>
          <reference field="11" count="1" selected="0">
            <x v="0"/>
          </reference>
        </references>
      </pivotArea>
    </format>
    <format dxfId="527">
      <pivotArea dataOnly="0" labelOnly="1" outline="0" fieldPosition="0">
        <references count="3">
          <reference field="3" count="1" selected="0">
            <x v="25"/>
          </reference>
          <reference field="5" count="1">
            <x v="67"/>
          </reference>
          <reference field="11" count="1" selected="0">
            <x v="0"/>
          </reference>
        </references>
      </pivotArea>
    </format>
    <format dxfId="526">
      <pivotArea dataOnly="0" labelOnly="1" outline="0" fieldPosition="0">
        <references count="3">
          <reference field="3" count="1" selected="0">
            <x v="27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525">
      <pivotArea dataOnly="0" labelOnly="1" outline="0" fieldPosition="0">
        <references count="3">
          <reference field="3" count="1" selected="0">
            <x v="28"/>
          </reference>
          <reference field="5" count="1">
            <x v="56"/>
          </reference>
          <reference field="11" count="1" selected="0">
            <x v="0"/>
          </reference>
        </references>
      </pivotArea>
    </format>
    <format dxfId="524">
      <pivotArea dataOnly="0" labelOnly="1" outline="0" fieldPosition="0">
        <references count="3">
          <reference field="3" count="1" selected="0">
            <x v="30"/>
          </reference>
          <reference field="5" count="1">
            <x v="105"/>
          </reference>
          <reference field="11" count="1" selected="0">
            <x v="0"/>
          </reference>
        </references>
      </pivotArea>
    </format>
    <format dxfId="523">
      <pivotArea dataOnly="0" labelOnly="1" outline="0" fieldPosition="0">
        <references count="3">
          <reference field="3" count="1" selected="0">
            <x v="31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522">
      <pivotArea dataOnly="0" labelOnly="1" outline="0" fieldPosition="0">
        <references count="3">
          <reference field="3" count="1" selected="0">
            <x v="34"/>
          </reference>
          <reference field="5" count="1">
            <x v="85"/>
          </reference>
          <reference field="11" count="1" selected="0">
            <x v="0"/>
          </reference>
        </references>
      </pivotArea>
    </format>
    <format dxfId="521">
      <pivotArea dataOnly="0" labelOnly="1" outline="0" fieldPosition="0">
        <references count="3">
          <reference field="3" count="1" selected="0">
            <x v="35"/>
          </reference>
          <reference field="5" count="1">
            <x v="64"/>
          </reference>
          <reference field="11" count="1" selected="0">
            <x v="0"/>
          </reference>
        </references>
      </pivotArea>
    </format>
    <format dxfId="520">
      <pivotArea dataOnly="0" labelOnly="1" outline="0" fieldPosition="0">
        <references count="3">
          <reference field="3" count="1" selected="0">
            <x v="36"/>
          </reference>
          <reference field="5" count="1">
            <x v="69"/>
          </reference>
          <reference field="11" count="1" selected="0">
            <x v="0"/>
          </reference>
        </references>
      </pivotArea>
    </format>
    <format dxfId="519">
      <pivotArea dataOnly="0" labelOnly="1" outline="0" fieldPosition="0">
        <references count="3">
          <reference field="3" count="1" selected="0">
            <x v="37"/>
          </reference>
          <reference field="5" count="1">
            <x v="90"/>
          </reference>
          <reference field="11" count="1" selected="0">
            <x v="0"/>
          </reference>
        </references>
      </pivotArea>
    </format>
    <format dxfId="518">
      <pivotArea dataOnly="0" labelOnly="1" outline="0" fieldPosition="0">
        <references count="3">
          <reference field="3" count="1" selected="0">
            <x v="38"/>
          </reference>
          <reference field="5" count="1">
            <x v="92"/>
          </reference>
          <reference field="11" count="1" selected="0">
            <x v="0"/>
          </reference>
        </references>
      </pivotArea>
    </format>
    <format dxfId="517">
      <pivotArea dataOnly="0" labelOnly="1" outline="0" fieldPosition="0">
        <references count="3">
          <reference field="3" count="1" selected="0">
            <x v="41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516">
      <pivotArea dataOnly="0" labelOnly="1" outline="0" fieldPosition="0">
        <references count="3">
          <reference field="3" count="1" selected="0">
            <x v="42"/>
          </reference>
          <reference field="5" count="1">
            <x v="103"/>
          </reference>
          <reference field="11" count="1" selected="0">
            <x v="0"/>
          </reference>
        </references>
      </pivotArea>
    </format>
    <format dxfId="515">
      <pivotArea dataOnly="0" labelOnly="1" outline="0" fieldPosition="0">
        <references count="3">
          <reference field="3" count="1" selected="0">
            <x v="45"/>
          </reference>
          <reference field="5" count="1">
            <x v="98"/>
          </reference>
          <reference field="11" count="1" selected="0">
            <x v="0"/>
          </reference>
        </references>
      </pivotArea>
    </format>
    <format dxfId="514">
      <pivotArea dataOnly="0" labelOnly="1" outline="0" fieldPosition="0">
        <references count="3">
          <reference field="3" count="1" selected="0">
            <x v="48"/>
          </reference>
          <reference field="5" count="1">
            <x v="80"/>
          </reference>
          <reference field="11" count="1" selected="0">
            <x v="0"/>
          </reference>
        </references>
      </pivotArea>
    </format>
    <format dxfId="513">
      <pivotArea dataOnly="0" labelOnly="1" outline="0" fieldPosition="0">
        <references count="3">
          <reference field="3" count="1" selected="0">
            <x v="49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512">
      <pivotArea dataOnly="0" labelOnly="1" outline="0" fieldPosition="0">
        <references count="3">
          <reference field="3" count="1" selected="0">
            <x v="54"/>
          </reference>
          <reference field="5" count="1">
            <x v="74"/>
          </reference>
          <reference field="11" count="1" selected="0">
            <x v="0"/>
          </reference>
        </references>
      </pivotArea>
    </format>
    <format dxfId="511">
      <pivotArea dataOnly="0" labelOnly="1" outline="0" fieldPosition="0">
        <references count="3">
          <reference field="3" count="1" selected="0">
            <x v="55"/>
          </reference>
          <reference field="5" count="1">
            <x v="96"/>
          </reference>
          <reference field="11" count="1" selected="0">
            <x v="0"/>
          </reference>
        </references>
      </pivotArea>
    </format>
    <format dxfId="510">
      <pivotArea dataOnly="0" labelOnly="1" outline="0" fieldPosition="0">
        <references count="3">
          <reference field="3" count="1" selected="0">
            <x v="58"/>
          </reference>
          <reference field="5" count="1">
            <x v="104"/>
          </reference>
          <reference field="11" count="1" selected="0">
            <x v="0"/>
          </reference>
        </references>
      </pivotArea>
    </format>
    <format dxfId="509">
      <pivotArea dataOnly="0" labelOnly="1" outline="0" fieldPosition="0">
        <references count="3">
          <reference field="3" count="1" selected="0">
            <x v="59"/>
          </reference>
          <reference field="5" count="1">
            <x v="67"/>
          </reference>
          <reference field="11" count="1" selected="0">
            <x v="0"/>
          </reference>
        </references>
      </pivotArea>
    </format>
    <format dxfId="508">
      <pivotArea dataOnly="0" labelOnly="1" outline="0" fieldPosition="0">
        <references count="3">
          <reference field="3" count="1" selected="0">
            <x v="64"/>
          </reference>
          <reference field="5" count="1">
            <x v="84"/>
          </reference>
          <reference field="11" count="1" selected="0">
            <x v="0"/>
          </reference>
        </references>
      </pivotArea>
    </format>
    <format dxfId="507">
      <pivotArea dataOnly="0" labelOnly="1" outline="0" fieldPosition="0">
        <references count="3">
          <reference field="3" count="1" selected="0">
            <x v="65"/>
          </reference>
          <reference field="5" count="1">
            <x v="94"/>
          </reference>
          <reference field="11" count="1" selected="0">
            <x v="0"/>
          </reference>
        </references>
      </pivotArea>
    </format>
    <format dxfId="506">
      <pivotArea dataOnly="0" labelOnly="1" outline="0" fieldPosition="0">
        <references count="3">
          <reference field="3" count="1" selected="0">
            <x v="66"/>
          </reference>
          <reference field="5" count="1">
            <x v="84"/>
          </reference>
          <reference field="11" count="1" selected="0">
            <x v="0"/>
          </reference>
        </references>
      </pivotArea>
    </format>
    <format dxfId="505">
      <pivotArea dataOnly="0" labelOnly="1" outline="0" fieldPosition="0">
        <references count="3">
          <reference field="3" count="1" selected="0">
            <x v="71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504">
      <pivotArea dataOnly="0" labelOnly="1" outline="0" fieldPosition="0">
        <references count="3">
          <reference field="3" count="1" selected="0">
            <x v="73"/>
          </reference>
          <reference field="5" count="1">
            <x v="61"/>
          </reference>
          <reference field="11" count="1" selected="0">
            <x v="0"/>
          </reference>
        </references>
      </pivotArea>
    </format>
    <format dxfId="503">
      <pivotArea dataOnly="0" labelOnly="1" outline="0" fieldPosition="0">
        <references count="3">
          <reference field="3" count="1" selected="0">
            <x v="78"/>
          </reference>
          <reference field="5" count="1">
            <x v="57"/>
          </reference>
          <reference field="11" count="1" selected="0">
            <x v="0"/>
          </reference>
        </references>
      </pivotArea>
    </format>
    <format dxfId="502">
      <pivotArea dataOnly="0" labelOnly="1" outline="0" fieldPosition="0">
        <references count="3">
          <reference field="3" count="1" selected="0">
            <x v="80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501">
      <pivotArea dataOnly="0" labelOnly="1" outline="0" fieldPosition="0">
        <references count="3">
          <reference field="3" count="1" selected="0">
            <x v="81"/>
          </reference>
          <reference field="5" count="1">
            <x v="89"/>
          </reference>
          <reference field="11" count="1" selected="0">
            <x v="0"/>
          </reference>
        </references>
      </pivotArea>
    </format>
    <format dxfId="500">
      <pivotArea dataOnly="0" labelOnly="1" outline="0" fieldPosition="0">
        <references count="3">
          <reference field="3" count="1" selected="0">
            <x v="82"/>
          </reference>
          <reference field="5" count="1">
            <x v="103"/>
          </reference>
          <reference field="11" count="1" selected="0">
            <x v="0"/>
          </reference>
        </references>
      </pivotArea>
    </format>
    <format dxfId="499">
      <pivotArea dataOnly="0" labelOnly="1" outline="0" fieldPosition="0">
        <references count="3">
          <reference field="3" count="1" selected="0">
            <x v="84"/>
          </reference>
          <reference field="5" count="1">
            <x v="91"/>
          </reference>
          <reference field="11" count="1" selected="0">
            <x v="0"/>
          </reference>
        </references>
      </pivotArea>
    </format>
    <format dxfId="498">
      <pivotArea dataOnly="0" labelOnly="1" outline="0" fieldPosition="0">
        <references count="3">
          <reference field="3" count="1" selected="0">
            <x v="85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497">
      <pivotArea dataOnly="0" labelOnly="1" outline="0" fieldPosition="0">
        <references count="3">
          <reference field="3" count="1" selected="0">
            <x v="86"/>
          </reference>
          <reference field="5" count="1">
            <x v="67"/>
          </reference>
          <reference field="11" count="1" selected="0">
            <x v="0"/>
          </reference>
        </references>
      </pivotArea>
    </format>
    <format dxfId="496">
      <pivotArea dataOnly="0" labelOnly="1" outline="0" fieldPosition="0">
        <references count="3">
          <reference field="3" count="1" selected="0">
            <x v="87"/>
          </reference>
          <reference field="5" count="1">
            <x v="84"/>
          </reference>
          <reference field="11" count="1" selected="0">
            <x v="0"/>
          </reference>
        </references>
      </pivotArea>
    </format>
    <format dxfId="495">
      <pivotArea dataOnly="0" labelOnly="1" outline="0" fieldPosition="0">
        <references count="3">
          <reference field="3" count="1" selected="0">
            <x v="88"/>
          </reference>
          <reference field="5" count="1">
            <x v="87"/>
          </reference>
          <reference field="11" count="1" selected="0">
            <x v="0"/>
          </reference>
        </references>
      </pivotArea>
    </format>
    <format dxfId="494">
      <pivotArea dataOnly="0" labelOnly="1" outline="0" fieldPosition="0">
        <references count="3">
          <reference field="3" count="1" selected="0">
            <x v="89"/>
          </reference>
          <reference field="5" count="1">
            <x v="86"/>
          </reference>
          <reference field="11" count="1" selected="0">
            <x v="0"/>
          </reference>
        </references>
      </pivotArea>
    </format>
    <format dxfId="493">
      <pivotArea dataOnly="0" labelOnly="1" outline="0" fieldPosition="0">
        <references count="3">
          <reference field="3" count="1" selected="0">
            <x v="90"/>
          </reference>
          <reference field="5" count="1">
            <x v="78"/>
          </reference>
          <reference field="11" count="1" selected="0">
            <x v="0"/>
          </reference>
        </references>
      </pivotArea>
    </format>
    <format dxfId="492">
      <pivotArea dataOnly="0" labelOnly="1" outline="0" fieldPosition="0">
        <references count="3">
          <reference field="3" count="1" selected="0">
            <x v="91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491">
      <pivotArea dataOnly="0" labelOnly="1" outline="0" fieldPosition="0">
        <references count="3">
          <reference field="3" count="1" selected="0">
            <x v="92"/>
          </reference>
          <reference field="5" count="1">
            <x v="60"/>
          </reference>
          <reference field="11" count="1" selected="0">
            <x v="0"/>
          </reference>
        </references>
      </pivotArea>
    </format>
    <format dxfId="490">
      <pivotArea dataOnly="0" labelOnly="1" outline="0" fieldPosition="0">
        <references count="3">
          <reference field="3" count="1" selected="0">
            <x v="93"/>
          </reference>
          <reference field="5" count="1">
            <x v="102"/>
          </reference>
          <reference field="11" count="1" selected="0">
            <x v="0"/>
          </reference>
        </references>
      </pivotArea>
    </format>
    <format dxfId="489">
      <pivotArea dataOnly="0" labelOnly="1" outline="0" fieldPosition="0">
        <references count="3">
          <reference field="3" count="1" selected="0">
            <x v="94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488">
      <pivotArea dataOnly="0" labelOnly="1" outline="0" fieldPosition="0">
        <references count="3">
          <reference field="3" count="1" selected="0">
            <x v="96"/>
          </reference>
          <reference field="5" count="1">
            <x v="106"/>
          </reference>
          <reference field="11" count="1" selected="0">
            <x v="0"/>
          </reference>
        </references>
      </pivotArea>
    </format>
    <format dxfId="487">
      <pivotArea dataOnly="0" labelOnly="1" outline="0" fieldPosition="0">
        <references count="3">
          <reference field="3" count="1" selected="0">
            <x v="100"/>
          </reference>
          <reference field="5" count="1">
            <x v="82"/>
          </reference>
          <reference field="11" count="1" selected="0">
            <x v="0"/>
          </reference>
        </references>
      </pivotArea>
    </format>
    <format dxfId="486">
      <pivotArea dataOnly="0" labelOnly="1" outline="0" fieldPosition="0">
        <references count="3">
          <reference field="3" count="1" selected="0">
            <x v="101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485">
      <pivotArea dataOnly="0" labelOnly="1" outline="0" fieldPosition="0">
        <references count="3">
          <reference field="3" count="1" selected="0">
            <x v="102"/>
          </reference>
          <reference field="5" count="1">
            <x v="76"/>
          </reference>
          <reference field="11" count="1" selected="0">
            <x v="0"/>
          </reference>
        </references>
      </pivotArea>
    </format>
    <format dxfId="484">
      <pivotArea dataOnly="0" labelOnly="1" outline="0" fieldPosition="0">
        <references count="3">
          <reference field="3" count="1" selected="0">
            <x v="106"/>
          </reference>
          <reference field="5" count="1">
            <x v="97"/>
          </reference>
          <reference field="11" count="1" selected="0">
            <x v="0"/>
          </reference>
        </references>
      </pivotArea>
    </format>
    <format dxfId="483">
      <pivotArea dataOnly="0" labelOnly="1" outline="0" fieldPosition="0">
        <references count="3">
          <reference field="3" count="1" selected="0">
            <x v="112"/>
          </reference>
          <reference field="5" count="1">
            <x v="105"/>
          </reference>
          <reference field="11" count="1" selected="0">
            <x v="0"/>
          </reference>
        </references>
      </pivotArea>
    </format>
    <format dxfId="482">
      <pivotArea dataOnly="0" labelOnly="1" outline="0" fieldPosition="0">
        <references count="3">
          <reference field="3" count="1" selected="0">
            <x v="114"/>
          </reference>
          <reference field="5" count="1">
            <x v="98"/>
          </reference>
          <reference field="11" count="1" selected="0">
            <x v="0"/>
          </reference>
        </references>
      </pivotArea>
    </format>
    <format dxfId="481">
      <pivotArea dataOnly="0" labelOnly="1" outline="0" fieldPosition="0">
        <references count="3">
          <reference field="3" count="1" selected="0">
            <x v="116"/>
          </reference>
          <reference field="5" count="1">
            <x v="103"/>
          </reference>
          <reference field="11" count="1" selected="0">
            <x v="0"/>
          </reference>
        </references>
      </pivotArea>
    </format>
    <format dxfId="480">
      <pivotArea dataOnly="0" labelOnly="1" outline="0" fieldPosition="0">
        <references count="3">
          <reference field="3" count="1" selected="0">
            <x v="118"/>
          </reference>
          <reference field="5" count="1">
            <x v="80"/>
          </reference>
          <reference field="11" count="1" selected="0">
            <x v="0"/>
          </reference>
        </references>
      </pivotArea>
    </format>
    <format dxfId="479">
      <pivotArea dataOnly="0" labelOnly="1" outline="0" fieldPosition="0">
        <references count="3">
          <reference field="3" count="1" selected="0">
            <x v="120"/>
          </reference>
          <reference field="5" count="1">
            <x v="65"/>
          </reference>
          <reference field="11" count="1" selected="0">
            <x v="0"/>
          </reference>
        </references>
      </pivotArea>
    </format>
    <format dxfId="478">
      <pivotArea dataOnly="0" labelOnly="1" outline="0" fieldPosition="0">
        <references count="3">
          <reference field="3" count="1" selected="0">
            <x v="121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477">
      <pivotArea dataOnly="0" labelOnly="1" outline="0" fieldPosition="0">
        <references count="3">
          <reference field="3" count="1" selected="0">
            <x v="122"/>
          </reference>
          <reference field="5" count="1">
            <x v="98"/>
          </reference>
          <reference field="11" count="1" selected="0">
            <x v="0"/>
          </reference>
        </references>
      </pivotArea>
    </format>
    <format dxfId="476">
      <pivotArea dataOnly="0" labelOnly="1" outline="0" fieldPosition="0">
        <references count="3">
          <reference field="3" count="1" selected="0">
            <x v="123"/>
          </reference>
          <reference field="5" count="1">
            <x v="69"/>
          </reference>
          <reference field="11" count="1" selected="0">
            <x v="0"/>
          </reference>
        </references>
      </pivotArea>
    </format>
    <format dxfId="475">
      <pivotArea dataOnly="0" labelOnly="1" outline="0" fieldPosition="0">
        <references count="3">
          <reference field="3" count="1" selected="0">
            <x v="124"/>
          </reference>
          <reference field="5" count="1">
            <x v="102"/>
          </reference>
          <reference field="11" count="1" selected="0">
            <x v="0"/>
          </reference>
        </references>
      </pivotArea>
    </format>
    <format dxfId="474">
      <pivotArea dataOnly="0" labelOnly="1" outline="0" fieldPosition="0">
        <references count="3">
          <reference field="3" count="1" selected="0">
            <x v="126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473">
      <pivotArea dataOnly="0" labelOnly="1" outline="0" fieldPosition="0">
        <references count="3">
          <reference field="3" count="1" selected="0">
            <x v="128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472">
      <pivotArea dataOnly="0" labelOnly="1" outline="0" fieldPosition="0">
        <references count="3">
          <reference field="3" count="1" selected="0">
            <x v="132"/>
          </reference>
          <reference field="5" count="1">
            <x v="71"/>
          </reference>
          <reference field="11" count="1" selected="0">
            <x v="0"/>
          </reference>
        </references>
      </pivotArea>
    </format>
    <format dxfId="471">
      <pivotArea dataOnly="0" labelOnly="1" outline="0" fieldPosition="0">
        <references count="3">
          <reference field="3" count="1" selected="0">
            <x v="136"/>
          </reference>
          <reference field="5" count="1">
            <x v="99"/>
          </reference>
          <reference field="11" count="1" selected="0">
            <x v="0"/>
          </reference>
        </references>
      </pivotArea>
    </format>
    <format dxfId="470">
      <pivotArea dataOnly="0" labelOnly="1" outline="0" fieldPosition="0">
        <references count="3">
          <reference field="3" count="1" selected="0">
            <x v="138"/>
          </reference>
          <reference field="5" count="1">
            <x v="66"/>
          </reference>
          <reference field="11" count="1" selected="0">
            <x v="0"/>
          </reference>
        </references>
      </pivotArea>
    </format>
    <format dxfId="469">
      <pivotArea dataOnly="0" labelOnly="1" outline="0" fieldPosition="0">
        <references count="3">
          <reference field="3" count="1" selected="0">
            <x v="140"/>
          </reference>
          <reference field="5" count="1">
            <x v="97"/>
          </reference>
          <reference field="11" count="1" selected="0">
            <x v="0"/>
          </reference>
        </references>
      </pivotArea>
    </format>
    <format dxfId="468">
      <pivotArea dataOnly="0" labelOnly="1" outline="0" fieldPosition="0">
        <references count="3">
          <reference field="3" count="1" selected="0">
            <x v="142"/>
          </reference>
          <reference field="5" count="1">
            <x v="82"/>
          </reference>
          <reference field="11" count="1" selected="0">
            <x v="0"/>
          </reference>
        </references>
      </pivotArea>
    </format>
    <format dxfId="467">
      <pivotArea dataOnly="0" labelOnly="1" outline="0" fieldPosition="0">
        <references count="3">
          <reference field="3" count="1" selected="0">
            <x v="143"/>
          </reference>
          <reference field="5" count="1">
            <x v="88"/>
          </reference>
          <reference field="11" count="1" selected="0">
            <x v="0"/>
          </reference>
        </references>
      </pivotArea>
    </format>
    <format dxfId="466">
      <pivotArea dataOnly="0" labelOnly="1" outline="0" fieldPosition="0">
        <references count="3">
          <reference field="3" count="1" selected="0">
            <x v="144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465">
      <pivotArea dataOnly="0" labelOnly="1" outline="0" fieldPosition="0">
        <references count="3">
          <reference field="3" count="1" selected="0">
            <x v="145"/>
          </reference>
          <reference field="5" count="1">
            <x v="80"/>
          </reference>
          <reference field="11" count="1" selected="0">
            <x v="0"/>
          </reference>
        </references>
      </pivotArea>
    </format>
    <format dxfId="464">
      <pivotArea dataOnly="0" labelOnly="1" outline="0" fieldPosition="0">
        <references count="3">
          <reference field="3" count="1" selected="0">
            <x v="150"/>
          </reference>
          <reference field="5" count="1">
            <x v="66"/>
          </reference>
          <reference field="11" count="1" selected="0">
            <x v="0"/>
          </reference>
        </references>
      </pivotArea>
    </format>
    <format dxfId="463">
      <pivotArea dataOnly="0" labelOnly="1" outline="0" fieldPosition="0">
        <references count="3">
          <reference field="3" count="1" selected="0">
            <x v="152"/>
          </reference>
          <reference field="5" count="1">
            <x v="68"/>
          </reference>
          <reference field="11" count="1" selected="0">
            <x v="0"/>
          </reference>
        </references>
      </pivotArea>
    </format>
    <format dxfId="462">
      <pivotArea dataOnly="0" labelOnly="1" outline="0" fieldPosition="0">
        <references count="3">
          <reference field="3" count="1" selected="0">
            <x v="153"/>
          </reference>
          <reference field="5" count="1">
            <x v="79"/>
          </reference>
          <reference field="11" count="1" selected="0">
            <x v="0"/>
          </reference>
        </references>
      </pivotArea>
    </format>
    <format dxfId="461">
      <pivotArea dataOnly="0" labelOnly="1" outline="0" fieldPosition="0">
        <references count="3">
          <reference field="3" count="1" selected="0">
            <x v="154"/>
          </reference>
          <reference field="5" count="1">
            <x v="95"/>
          </reference>
          <reference field="11" count="1" selected="0">
            <x v="0"/>
          </reference>
        </references>
      </pivotArea>
    </format>
    <format dxfId="460">
      <pivotArea dataOnly="0" labelOnly="1" outline="0" fieldPosition="0">
        <references count="3">
          <reference field="3" count="1" selected="0">
            <x v="155"/>
          </reference>
          <reference field="5" count="1">
            <x v="80"/>
          </reference>
          <reference field="11" count="1" selected="0">
            <x v="0"/>
          </reference>
        </references>
      </pivotArea>
    </format>
    <format dxfId="459">
      <pivotArea dataOnly="0" labelOnly="1" outline="0" fieldPosition="0">
        <references count="3">
          <reference field="3" count="1" selected="0">
            <x v="158"/>
          </reference>
          <reference field="5" count="1">
            <x v="77"/>
          </reference>
          <reference field="11" count="1" selected="0">
            <x v="0"/>
          </reference>
        </references>
      </pivotArea>
    </format>
    <format dxfId="458">
      <pivotArea dataOnly="0" labelOnly="1" outline="0" fieldPosition="0">
        <references count="3">
          <reference field="3" count="1" selected="0">
            <x v="160"/>
          </reference>
          <reference field="5" count="1">
            <x v="56"/>
          </reference>
          <reference field="11" count="1" selected="0">
            <x v="0"/>
          </reference>
        </references>
      </pivotArea>
    </format>
    <format dxfId="457">
      <pivotArea dataOnly="0" labelOnly="1" outline="0" fieldPosition="0">
        <references count="3">
          <reference field="3" count="1" selected="0">
            <x v="161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456">
      <pivotArea dataOnly="0" labelOnly="1" outline="0" fieldPosition="0">
        <references count="3">
          <reference field="3" count="1" selected="0">
            <x v="163"/>
          </reference>
          <reference field="5" count="1">
            <x v="63"/>
          </reference>
          <reference field="11" count="1" selected="0">
            <x v="0"/>
          </reference>
        </references>
      </pivotArea>
    </format>
    <format dxfId="455">
      <pivotArea dataOnly="0" labelOnly="1" outline="0" fieldPosition="0">
        <references count="3">
          <reference field="3" count="1" selected="0">
            <x v="164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454">
      <pivotArea dataOnly="0" labelOnly="1" outline="0" fieldPosition="0">
        <references count="3">
          <reference field="3" count="1" selected="0">
            <x v="167"/>
          </reference>
          <reference field="5" count="1">
            <x v="75"/>
          </reference>
          <reference field="11" count="1" selected="0">
            <x v="0"/>
          </reference>
        </references>
      </pivotArea>
    </format>
    <format dxfId="453">
      <pivotArea dataOnly="0" labelOnly="1" outline="0" fieldPosition="0">
        <references count="3">
          <reference field="3" count="1" selected="0">
            <x v="169"/>
          </reference>
          <reference field="5" count="1">
            <x v="100"/>
          </reference>
          <reference field="11" count="1" selected="0">
            <x v="0"/>
          </reference>
        </references>
      </pivotArea>
    </format>
    <format dxfId="452">
      <pivotArea dataOnly="0" labelOnly="1" outline="0" fieldPosition="0">
        <references count="3">
          <reference field="3" count="1" selected="0">
            <x v="174"/>
          </reference>
          <reference field="5" count="1">
            <x v="56"/>
          </reference>
          <reference field="11" count="1" selected="0">
            <x v="0"/>
          </reference>
        </references>
      </pivotArea>
    </format>
    <format dxfId="451">
      <pivotArea dataOnly="0" labelOnly="1" outline="0" fieldPosition="0">
        <references count="3">
          <reference field="3" count="1" selected="0">
            <x v="175"/>
          </reference>
          <reference field="5" count="1">
            <x v="62"/>
          </reference>
          <reference field="11" count="1" selected="0">
            <x v="0"/>
          </reference>
        </references>
      </pivotArea>
    </format>
    <format dxfId="450">
      <pivotArea dataOnly="0" labelOnly="1" outline="0" fieldPosition="0">
        <references count="3">
          <reference field="3" count="1" selected="0">
            <x v="176"/>
          </reference>
          <reference field="5" count="1">
            <x v="73"/>
          </reference>
          <reference field="11" count="1" selected="0">
            <x v="0"/>
          </reference>
        </references>
      </pivotArea>
    </format>
    <format dxfId="449">
      <pivotArea dataOnly="0" labelOnly="1" outline="0" fieldPosition="0">
        <references count="3">
          <reference field="3" count="1" selected="0">
            <x v="178"/>
          </reference>
          <reference field="5" count="1">
            <x v="63"/>
          </reference>
          <reference field="11" count="1" selected="0">
            <x v="0"/>
          </reference>
        </references>
      </pivotArea>
    </format>
    <format dxfId="448">
      <pivotArea dataOnly="0" labelOnly="1" outline="0" fieldPosition="0">
        <references count="3">
          <reference field="3" count="1" selected="0">
            <x v="182"/>
          </reference>
          <reference field="5" count="1">
            <x v="101"/>
          </reference>
          <reference field="11" count="1" selected="0">
            <x v="0"/>
          </reference>
        </references>
      </pivotArea>
    </format>
    <format dxfId="447">
      <pivotArea dataOnly="0" labelOnly="1" outline="0" fieldPosition="0">
        <references count="3">
          <reference field="3" count="1" selected="0">
            <x v="183"/>
          </reference>
          <reference field="5" count="1">
            <x v="81"/>
          </reference>
          <reference field="11" count="1" selected="0">
            <x v="0"/>
          </reference>
        </references>
      </pivotArea>
    </format>
    <format dxfId="446">
      <pivotArea dataOnly="0" labelOnly="1" outline="0" fieldPosition="0">
        <references count="3">
          <reference field="3" count="1" selected="0">
            <x v="184"/>
          </reference>
          <reference field="5" count="1">
            <x v="86"/>
          </reference>
          <reference field="11" count="1" selected="0">
            <x v="0"/>
          </reference>
        </references>
      </pivotArea>
    </format>
    <format dxfId="445">
      <pivotArea dataOnly="0" labelOnly="1" outline="0" fieldPosition="0">
        <references count="3">
          <reference field="3" count="1" selected="0">
            <x v="0"/>
          </reference>
          <reference field="5" count="1">
            <x v="19"/>
          </reference>
          <reference field="11" count="1" selected="0">
            <x v="1"/>
          </reference>
        </references>
      </pivotArea>
    </format>
    <format dxfId="444">
      <pivotArea dataOnly="0" labelOnly="1" outline="0" fieldPosition="0">
        <references count="3">
          <reference field="3" count="1" selected="0">
            <x v="3"/>
          </reference>
          <reference field="5" count="1">
            <x v="48"/>
          </reference>
          <reference field="11" count="1" selected="0">
            <x v="1"/>
          </reference>
        </references>
      </pivotArea>
    </format>
    <format dxfId="443">
      <pivotArea dataOnly="0" labelOnly="1" outline="0" fieldPosition="0">
        <references count="3">
          <reference field="3" count="1" selected="0">
            <x v="6"/>
          </reference>
          <reference field="5" count="1">
            <x v="31"/>
          </reference>
          <reference field="11" count="1" selected="0">
            <x v="1"/>
          </reference>
        </references>
      </pivotArea>
    </format>
    <format dxfId="442">
      <pivotArea dataOnly="0" labelOnly="1" outline="0" fieldPosition="0">
        <references count="3">
          <reference field="3" count="1" selected="0">
            <x v="7"/>
          </reference>
          <reference field="5" count="1">
            <x v="25"/>
          </reference>
          <reference field="11" count="1" selected="0">
            <x v="1"/>
          </reference>
        </references>
      </pivotArea>
    </format>
    <format dxfId="441">
      <pivotArea dataOnly="0" labelOnly="1" outline="0" fieldPosition="0">
        <references count="3">
          <reference field="3" count="1" selected="0">
            <x v="8"/>
          </reference>
          <reference field="5" count="1">
            <x v="44"/>
          </reference>
          <reference field="11" count="1" selected="0">
            <x v="1"/>
          </reference>
        </references>
      </pivotArea>
    </format>
    <format dxfId="440">
      <pivotArea dataOnly="0" labelOnly="1" outline="0" fieldPosition="0">
        <references count="3">
          <reference field="3" count="1" selected="0">
            <x v="9"/>
          </reference>
          <reference field="5" count="1">
            <x v="55"/>
          </reference>
          <reference field="11" count="1" selected="0">
            <x v="1"/>
          </reference>
        </references>
      </pivotArea>
    </format>
    <format dxfId="439">
      <pivotArea dataOnly="0" labelOnly="1" outline="0" fieldPosition="0">
        <references count="3">
          <reference field="3" count="1" selected="0">
            <x v="11"/>
          </reference>
          <reference field="5" count="1">
            <x v="16"/>
          </reference>
          <reference field="11" count="1" selected="0">
            <x v="1"/>
          </reference>
        </references>
      </pivotArea>
    </format>
    <format dxfId="438">
      <pivotArea dataOnly="0" labelOnly="1" outline="0" fieldPosition="0">
        <references count="3">
          <reference field="3" count="1" selected="0">
            <x v="12"/>
          </reference>
          <reference field="5" count="1">
            <x v="34"/>
          </reference>
          <reference field="11" count="1" selected="0">
            <x v="1"/>
          </reference>
        </references>
      </pivotArea>
    </format>
    <format dxfId="437">
      <pivotArea dataOnly="0" labelOnly="1" outline="0" fieldPosition="0">
        <references count="3">
          <reference field="3" count="1" selected="0">
            <x v="15"/>
          </reference>
          <reference field="5" count="1">
            <x v="33"/>
          </reference>
          <reference field="11" count="1" selected="0">
            <x v="1"/>
          </reference>
        </references>
      </pivotArea>
    </format>
    <format dxfId="436">
      <pivotArea dataOnly="0" labelOnly="1" outline="0" fieldPosition="0">
        <references count="3">
          <reference field="3" count="1" selected="0">
            <x v="18"/>
          </reference>
          <reference field="5" count="1">
            <x v="42"/>
          </reference>
          <reference field="11" count="1" selected="0">
            <x v="1"/>
          </reference>
        </references>
      </pivotArea>
    </format>
    <format dxfId="435">
      <pivotArea dataOnly="0" labelOnly="1" outline="0" fieldPosition="0">
        <references count="3">
          <reference field="3" count="1" selected="0">
            <x v="26"/>
          </reference>
          <reference field="5" count="1">
            <x v="55"/>
          </reference>
          <reference field="11" count="1" selected="0">
            <x v="1"/>
          </reference>
        </references>
      </pivotArea>
    </format>
    <format dxfId="434">
      <pivotArea dataOnly="0" labelOnly="1" outline="0" fieldPosition="0">
        <references count="3">
          <reference field="3" count="1" selected="0">
            <x v="29"/>
          </reference>
          <reference field="5" count="1">
            <x v="40"/>
          </reference>
          <reference field="11" count="1" selected="0">
            <x v="1"/>
          </reference>
        </references>
      </pivotArea>
    </format>
    <format dxfId="433">
      <pivotArea dataOnly="0" labelOnly="1" outline="0" fieldPosition="0">
        <references count="3">
          <reference field="3" count="1" selected="0">
            <x v="32"/>
          </reference>
          <reference field="5" count="1">
            <x v="21"/>
          </reference>
          <reference field="11" count="1" selected="0">
            <x v="1"/>
          </reference>
        </references>
      </pivotArea>
    </format>
    <format dxfId="432">
      <pivotArea dataOnly="0" labelOnly="1" outline="0" fieldPosition="0">
        <references count="3">
          <reference field="3" count="1" selected="0">
            <x v="33"/>
          </reference>
          <reference field="5" count="1">
            <x v="17"/>
          </reference>
          <reference field="11" count="1" selected="0">
            <x v="1"/>
          </reference>
        </references>
      </pivotArea>
    </format>
    <format dxfId="431">
      <pivotArea dataOnly="0" labelOnly="1" outline="0" fieldPosition="0">
        <references count="3">
          <reference field="3" count="1" selected="0">
            <x v="39"/>
          </reference>
          <reference field="5" count="1">
            <x v="27"/>
          </reference>
          <reference field="11" count="1" selected="0">
            <x v="1"/>
          </reference>
        </references>
      </pivotArea>
    </format>
    <format dxfId="430">
      <pivotArea dataOnly="0" labelOnly="1" outline="0" fieldPosition="0">
        <references count="3">
          <reference field="3" count="1" selected="0">
            <x v="44"/>
          </reference>
          <reference field="5" count="1">
            <x v="46"/>
          </reference>
          <reference field="11" count="1" selected="0">
            <x v="1"/>
          </reference>
        </references>
      </pivotArea>
    </format>
    <format dxfId="429">
      <pivotArea dataOnly="0" labelOnly="1" outline="0" fieldPosition="0">
        <references count="3">
          <reference field="3" count="1" selected="0">
            <x v="46"/>
          </reference>
          <reference field="5" count="1">
            <x v="41"/>
          </reference>
          <reference field="11" count="1" selected="0">
            <x v="1"/>
          </reference>
        </references>
      </pivotArea>
    </format>
    <format dxfId="428">
      <pivotArea dataOnly="0" labelOnly="1" outline="0" fieldPosition="0">
        <references count="3">
          <reference field="3" count="1" selected="0">
            <x v="47"/>
          </reference>
          <reference field="5" count="1">
            <x v="46"/>
          </reference>
          <reference field="11" count="1" selected="0">
            <x v="1"/>
          </reference>
        </references>
      </pivotArea>
    </format>
    <format dxfId="427">
      <pivotArea dataOnly="0" labelOnly="1" outline="0" fieldPosition="0">
        <references count="3">
          <reference field="3" count="1" selected="0">
            <x v="50"/>
          </reference>
          <reference field="5" count="1">
            <x v="47"/>
          </reference>
          <reference field="11" count="1" selected="0">
            <x v="1"/>
          </reference>
        </references>
      </pivotArea>
    </format>
    <format dxfId="426">
      <pivotArea dataOnly="0" labelOnly="1" outline="0" fieldPosition="0">
        <references count="3">
          <reference field="3" count="1" selected="0">
            <x v="52"/>
          </reference>
          <reference field="5" count="1">
            <x v="32"/>
          </reference>
          <reference field="11" count="1" selected="0">
            <x v="1"/>
          </reference>
        </references>
      </pivotArea>
    </format>
    <format dxfId="425">
      <pivotArea dataOnly="0" labelOnly="1" outline="0" fieldPosition="0">
        <references count="3">
          <reference field="3" count="1" selected="0">
            <x v="53"/>
          </reference>
          <reference field="5" count="1">
            <x v="18"/>
          </reference>
          <reference field="11" count="1" selected="0">
            <x v="1"/>
          </reference>
        </references>
      </pivotArea>
    </format>
    <format dxfId="424">
      <pivotArea dataOnly="0" labelOnly="1" outline="0" fieldPosition="0">
        <references count="3">
          <reference field="3" count="1" selected="0">
            <x v="60"/>
          </reference>
          <reference field="5" count="1">
            <x v="26"/>
          </reference>
          <reference field="11" count="1" selected="0">
            <x v="1"/>
          </reference>
        </references>
      </pivotArea>
    </format>
    <format dxfId="423">
      <pivotArea dataOnly="0" labelOnly="1" outline="0" fieldPosition="0">
        <references count="3">
          <reference field="3" count="1" selected="0">
            <x v="61"/>
          </reference>
          <reference field="5" count="1">
            <x v="53"/>
          </reference>
          <reference field="11" count="1" selected="0">
            <x v="1"/>
          </reference>
        </references>
      </pivotArea>
    </format>
    <format dxfId="422">
      <pivotArea dataOnly="0" labelOnly="1" outline="0" fieldPosition="0">
        <references count="3">
          <reference field="3" count="1" selected="0">
            <x v="62"/>
          </reference>
          <reference field="5" count="1">
            <x v="13"/>
          </reference>
          <reference field="11" count="1" selected="0">
            <x v="1"/>
          </reference>
        </references>
      </pivotArea>
    </format>
    <format dxfId="421">
      <pivotArea dataOnly="0" labelOnly="1" outline="0" fieldPosition="0">
        <references count="3">
          <reference field="3" count="1" selected="0">
            <x v="63"/>
          </reference>
          <reference field="5" count="1">
            <x v="39"/>
          </reference>
          <reference field="11" count="1" selected="0">
            <x v="1"/>
          </reference>
        </references>
      </pivotArea>
    </format>
    <format dxfId="420">
      <pivotArea dataOnly="0" labelOnly="1" outline="0" fieldPosition="0">
        <references count="3">
          <reference field="3" count="1" selected="0">
            <x v="67"/>
          </reference>
          <reference field="5" count="1">
            <x v="42"/>
          </reference>
          <reference field="11" count="1" selected="0">
            <x v="1"/>
          </reference>
        </references>
      </pivotArea>
    </format>
    <format dxfId="419">
      <pivotArea dataOnly="0" labelOnly="1" outline="0" fieldPosition="0">
        <references count="3">
          <reference field="3" count="1" selected="0">
            <x v="69"/>
          </reference>
          <reference field="5" count="1">
            <x v="32"/>
          </reference>
          <reference field="11" count="1" selected="0">
            <x v="1"/>
          </reference>
        </references>
      </pivotArea>
    </format>
    <format dxfId="418">
      <pivotArea dataOnly="0" labelOnly="1" outline="0" fieldPosition="0">
        <references count="3">
          <reference field="3" count="1" selected="0">
            <x v="75"/>
          </reference>
          <reference field="5" count="1">
            <x v="26"/>
          </reference>
          <reference field="11" count="1" selected="0">
            <x v="1"/>
          </reference>
        </references>
      </pivotArea>
    </format>
    <format dxfId="417">
      <pivotArea dataOnly="0" labelOnly="1" outline="0" fieldPosition="0">
        <references count="3">
          <reference field="3" count="1" selected="0">
            <x v="76"/>
          </reference>
          <reference field="5" count="1">
            <x v="36"/>
          </reference>
          <reference field="11" count="1" selected="0">
            <x v="1"/>
          </reference>
        </references>
      </pivotArea>
    </format>
    <format dxfId="416">
      <pivotArea dataOnly="0" labelOnly="1" outline="0" fieldPosition="0">
        <references count="3">
          <reference field="3" count="1" selected="0">
            <x v="77"/>
          </reference>
          <reference field="5" count="1">
            <x v="37"/>
          </reference>
          <reference field="11" count="1" selected="0">
            <x v="1"/>
          </reference>
        </references>
      </pivotArea>
    </format>
    <format dxfId="415">
      <pivotArea dataOnly="0" labelOnly="1" outline="0" fieldPosition="0">
        <references count="3">
          <reference field="3" count="1" selected="0">
            <x v="83"/>
          </reference>
          <reference field="5" count="1">
            <x v="11"/>
          </reference>
          <reference field="11" count="1" selected="0">
            <x v="1"/>
          </reference>
        </references>
      </pivotArea>
    </format>
    <format dxfId="414">
      <pivotArea dataOnly="0" labelOnly="1" outline="0" fieldPosition="0">
        <references count="3">
          <reference field="3" count="1" selected="0">
            <x v="95"/>
          </reference>
          <reference field="5" count="1">
            <x v="24"/>
          </reference>
          <reference field="11" count="1" selected="0">
            <x v="1"/>
          </reference>
        </references>
      </pivotArea>
    </format>
    <format dxfId="413">
      <pivotArea dataOnly="0" labelOnly="1" outline="0" fieldPosition="0">
        <references count="3">
          <reference field="3" count="1" selected="0">
            <x v="97"/>
          </reference>
          <reference field="5" count="1">
            <x v="32"/>
          </reference>
          <reference field="11" count="1" selected="0">
            <x v="1"/>
          </reference>
        </references>
      </pivotArea>
    </format>
    <format dxfId="412">
      <pivotArea dataOnly="0" labelOnly="1" outline="0" fieldPosition="0">
        <references count="3">
          <reference field="3" count="1" selected="0">
            <x v="98"/>
          </reference>
          <reference field="5" count="1">
            <x v="23"/>
          </reference>
          <reference field="11" count="1" selected="0">
            <x v="1"/>
          </reference>
        </references>
      </pivotArea>
    </format>
    <format dxfId="411">
      <pivotArea dataOnly="0" labelOnly="1" outline="0" fieldPosition="0">
        <references count="3">
          <reference field="3" count="1" selected="0">
            <x v="99"/>
          </reference>
          <reference field="5" count="1">
            <x v="18"/>
          </reference>
          <reference field="11" count="1" selected="0">
            <x v="1"/>
          </reference>
        </references>
      </pivotArea>
    </format>
    <format dxfId="410">
      <pivotArea dataOnly="0" labelOnly="1" outline="0" fieldPosition="0">
        <references count="3">
          <reference field="3" count="1" selected="0">
            <x v="103"/>
          </reference>
          <reference field="5" count="1">
            <x v="19"/>
          </reference>
          <reference field="11" count="1" selected="0">
            <x v="1"/>
          </reference>
        </references>
      </pivotArea>
    </format>
    <format dxfId="409">
      <pivotArea dataOnly="0" labelOnly="1" outline="0" fieldPosition="0">
        <references count="3">
          <reference field="3" count="1" selected="0">
            <x v="109"/>
          </reference>
          <reference field="5" count="1">
            <x v="50"/>
          </reference>
          <reference field="11" count="1" selected="0">
            <x v="1"/>
          </reference>
        </references>
      </pivotArea>
    </format>
    <format dxfId="408">
      <pivotArea dataOnly="0" labelOnly="1" outline="0" fieldPosition="0">
        <references count="3">
          <reference field="3" count="1" selected="0">
            <x v="110"/>
          </reference>
          <reference field="5" count="1">
            <x v="33"/>
          </reference>
          <reference field="11" count="1" selected="0">
            <x v="1"/>
          </reference>
        </references>
      </pivotArea>
    </format>
    <format dxfId="407">
      <pivotArea dataOnly="0" labelOnly="1" outline="0" fieldPosition="0">
        <references count="3">
          <reference field="3" count="1" selected="0">
            <x v="111"/>
          </reference>
          <reference field="5" count="1">
            <x v="51"/>
          </reference>
          <reference field="11" count="1" selected="0">
            <x v="1"/>
          </reference>
        </references>
      </pivotArea>
    </format>
    <format dxfId="406">
      <pivotArea dataOnly="0" labelOnly="1" outline="0" fieldPosition="0">
        <references count="3">
          <reference field="3" count="1" selected="0">
            <x v="113"/>
          </reference>
          <reference field="5" count="1">
            <x v="55"/>
          </reference>
          <reference field="11" count="1" selected="0">
            <x v="1"/>
          </reference>
        </references>
      </pivotArea>
    </format>
    <format dxfId="405">
      <pivotArea dataOnly="0" labelOnly="1" outline="0" fieldPosition="0">
        <references count="3">
          <reference field="3" count="1" selected="0">
            <x v="115"/>
          </reference>
          <reference field="5" count="1">
            <x v="28"/>
          </reference>
          <reference field="11" count="1" selected="0">
            <x v="1"/>
          </reference>
        </references>
      </pivotArea>
    </format>
    <format dxfId="404">
      <pivotArea dataOnly="0" labelOnly="1" outline="0" fieldPosition="0">
        <references count="3">
          <reference field="3" count="1" selected="0">
            <x v="117"/>
          </reference>
          <reference field="5" count="1">
            <x v="15"/>
          </reference>
          <reference field="11" count="1" selected="0">
            <x v="1"/>
          </reference>
        </references>
      </pivotArea>
    </format>
    <format dxfId="403">
      <pivotArea dataOnly="0" labelOnly="1" outline="0" fieldPosition="0">
        <references count="3">
          <reference field="3" count="1" selected="0">
            <x v="119"/>
          </reference>
          <reference field="5" count="1">
            <x v="24"/>
          </reference>
          <reference field="11" count="1" selected="0">
            <x v="1"/>
          </reference>
        </references>
      </pivotArea>
    </format>
    <format dxfId="402">
      <pivotArea dataOnly="0" labelOnly="1" outline="0" fieldPosition="0">
        <references count="3">
          <reference field="3" count="1" selected="0">
            <x v="125"/>
          </reference>
          <reference field="5" count="1">
            <x v="49"/>
          </reference>
          <reference field="11" count="1" selected="0">
            <x v="1"/>
          </reference>
        </references>
      </pivotArea>
    </format>
    <format dxfId="401">
      <pivotArea dataOnly="0" labelOnly="1" outline="0" fieldPosition="0">
        <references count="3">
          <reference field="3" count="1" selected="0">
            <x v="127"/>
          </reference>
          <reference field="5" count="1">
            <x v="40"/>
          </reference>
          <reference field="11" count="1" selected="0">
            <x v="1"/>
          </reference>
        </references>
      </pivotArea>
    </format>
    <format dxfId="400">
      <pivotArea dataOnly="0" labelOnly="1" outline="0" fieldPosition="0">
        <references count="3">
          <reference field="3" count="1" selected="0">
            <x v="129"/>
          </reference>
          <reference field="5" count="1">
            <x v="53"/>
          </reference>
          <reference field="11" count="1" selected="0">
            <x v="1"/>
          </reference>
        </references>
      </pivotArea>
    </format>
    <format dxfId="399">
      <pivotArea dataOnly="0" labelOnly="1" outline="0" fieldPosition="0">
        <references count="3">
          <reference field="3" count="1" selected="0">
            <x v="130"/>
          </reference>
          <reference field="5" count="1">
            <x v="54"/>
          </reference>
          <reference field="11" count="1" selected="0">
            <x v="1"/>
          </reference>
        </references>
      </pivotArea>
    </format>
    <format dxfId="398">
      <pivotArea dataOnly="0" labelOnly="1" outline="0" fieldPosition="0">
        <references count="3">
          <reference field="3" count="1" selected="0">
            <x v="131"/>
          </reference>
          <reference field="5" count="1">
            <x v="29"/>
          </reference>
          <reference field="11" count="1" selected="0">
            <x v="1"/>
          </reference>
        </references>
      </pivotArea>
    </format>
    <format dxfId="397">
      <pivotArea dataOnly="0" labelOnly="1" outline="0" fieldPosition="0">
        <references count="3">
          <reference field="3" count="1" selected="0">
            <x v="133"/>
          </reference>
          <reference field="5" count="1">
            <x v="34"/>
          </reference>
          <reference field="11" count="1" selected="0">
            <x v="1"/>
          </reference>
        </references>
      </pivotArea>
    </format>
    <format dxfId="396">
      <pivotArea dataOnly="0" labelOnly="1" outline="0" fieldPosition="0">
        <references count="3">
          <reference field="3" count="1" selected="0">
            <x v="135"/>
          </reference>
          <reference field="5" count="1">
            <x v="37"/>
          </reference>
          <reference field="11" count="1" selected="0">
            <x v="1"/>
          </reference>
        </references>
      </pivotArea>
    </format>
    <format dxfId="395">
      <pivotArea dataOnly="0" labelOnly="1" outline="0" fieldPosition="0">
        <references count="3">
          <reference field="3" count="1" selected="0">
            <x v="137"/>
          </reference>
          <reference field="5" count="1">
            <x v="22"/>
          </reference>
          <reference field="11" count="1" selected="0">
            <x v="1"/>
          </reference>
        </references>
      </pivotArea>
    </format>
    <format dxfId="394">
      <pivotArea dataOnly="0" labelOnly="1" outline="0" fieldPosition="0">
        <references count="3">
          <reference field="3" count="1" selected="0">
            <x v="139"/>
          </reference>
          <reference field="5" count="1">
            <x v="14"/>
          </reference>
          <reference field="11" count="1" selected="0">
            <x v="1"/>
          </reference>
        </references>
      </pivotArea>
    </format>
    <format dxfId="393">
      <pivotArea dataOnly="0" labelOnly="1" outline="0" fieldPosition="0">
        <references count="3">
          <reference field="3" count="1" selected="0">
            <x v="141"/>
          </reference>
          <reference field="5" count="1">
            <x v="35"/>
          </reference>
          <reference field="11" count="1" selected="0">
            <x v="1"/>
          </reference>
        </references>
      </pivotArea>
    </format>
    <format dxfId="392">
      <pivotArea dataOnly="0" labelOnly="1" outline="0" fieldPosition="0">
        <references count="3">
          <reference field="3" count="1" selected="0">
            <x v="146"/>
          </reference>
          <reference field="5" count="1">
            <x v="50"/>
          </reference>
          <reference field="11" count="1" selected="0">
            <x v="1"/>
          </reference>
        </references>
      </pivotArea>
    </format>
    <format dxfId="391">
      <pivotArea dataOnly="0" labelOnly="1" outline="0" fieldPosition="0">
        <references count="3">
          <reference field="3" count="1" selected="0">
            <x v="147"/>
          </reference>
          <reference field="5" count="1">
            <x v="52"/>
          </reference>
          <reference field="11" count="1" selected="0">
            <x v="1"/>
          </reference>
        </references>
      </pivotArea>
    </format>
    <format dxfId="390">
      <pivotArea dataOnly="0" labelOnly="1" outline="0" fieldPosition="0">
        <references count="3">
          <reference field="3" count="1" selected="0">
            <x v="148"/>
          </reference>
          <reference field="5" count="1">
            <x v="55"/>
          </reference>
          <reference field="11" count="1" selected="0">
            <x v="1"/>
          </reference>
        </references>
      </pivotArea>
    </format>
    <format dxfId="389">
      <pivotArea dataOnly="0" labelOnly="1" outline="0" fieldPosition="0">
        <references count="3">
          <reference field="3" count="1" selected="0">
            <x v="151"/>
          </reference>
          <reference field="5" count="1">
            <x v="36"/>
          </reference>
          <reference field="11" count="1" selected="0">
            <x v="1"/>
          </reference>
        </references>
      </pivotArea>
    </format>
    <format dxfId="388">
      <pivotArea dataOnly="0" labelOnly="1" outline="0" fieldPosition="0">
        <references count="3">
          <reference field="3" count="1" selected="0">
            <x v="156"/>
          </reference>
          <reference field="5" count="1">
            <x v="48"/>
          </reference>
          <reference field="11" count="1" selected="0">
            <x v="1"/>
          </reference>
        </references>
      </pivotArea>
    </format>
    <format dxfId="387">
      <pivotArea dataOnly="0" labelOnly="1" outline="0" fieldPosition="0">
        <references count="3">
          <reference field="3" count="1" selected="0">
            <x v="159"/>
          </reference>
          <reference field="5" count="1">
            <x v="31"/>
          </reference>
          <reference field="11" count="1" selected="0">
            <x v="1"/>
          </reference>
        </references>
      </pivotArea>
    </format>
    <format dxfId="386">
      <pivotArea dataOnly="0" labelOnly="1" outline="0" fieldPosition="0">
        <references count="3">
          <reference field="3" count="1" selected="0">
            <x v="166"/>
          </reference>
          <reference field="5" count="1">
            <x v="20"/>
          </reference>
          <reference field="11" count="1" selected="0">
            <x v="1"/>
          </reference>
        </references>
      </pivotArea>
    </format>
    <format dxfId="385">
      <pivotArea dataOnly="0" labelOnly="1" outline="0" fieldPosition="0">
        <references count="3">
          <reference field="3" count="1" selected="0">
            <x v="168"/>
          </reference>
          <reference field="5" count="1">
            <x v="45"/>
          </reference>
          <reference field="11" count="1" selected="0">
            <x v="1"/>
          </reference>
        </references>
      </pivotArea>
    </format>
    <format dxfId="384">
      <pivotArea dataOnly="0" labelOnly="1" outline="0" fieldPosition="0">
        <references count="3">
          <reference field="3" count="1" selected="0">
            <x v="170"/>
          </reference>
          <reference field="5" count="1">
            <x v="23"/>
          </reference>
          <reference field="11" count="1" selected="0">
            <x v="1"/>
          </reference>
        </references>
      </pivotArea>
    </format>
    <format dxfId="383">
      <pivotArea dataOnly="0" labelOnly="1" outline="0" fieldPosition="0">
        <references count="3">
          <reference field="3" count="1" selected="0">
            <x v="172"/>
          </reference>
          <reference field="5" count="1">
            <x v="48"/>
          </reference>
          <reference field="11" count="1" selected="0">
            <x v="1"/>
          </reference>
        </references>
      </pivotArea>
    </format>
    <format dxfId="382">
      <pivotArea dataOnly="0" labelOnly="1" outline="0" fieldPosition="0">
        <references count="3">
          <reference field="3" count="1" selected="0">
            <x v="173"/>
          </reference>
          <reference field="5" count="1">
            <x v="30"/>
          </reference>
          <reference field="11" count="1" selected="0">
            <x v="1"/>
          </reference>
        </references>
      </pivotArea>
    </format>
    <format dxfId="381">
      <pivotArea dataOnly="0" labelOnly="1" outline="0" fieldPosition="0">
        <references count="3">
          <reference field="3" count="1" selected="0">
            <x v="177"/>
          </reference>
          <reference field="5" count="1">
            <x v="43"/>
          </reference>
          <reference field="11" count="1" selected="0">
            <x v="1"/>
          </reference>
        </references>
      </pivotArea>
    </format>
    <format dxfId="380">
      <pivotArea dataOnly="0" labelOnly="1" outline="0" fieldPosition="0">
        <references count="3">
          <reference field="3" count="1" selected="0">
            <x v="179"/>
          </reference>
          <reference field="5" count="1">
            <x v="38"/>
          </reference>
          <reference field="11" count="1" selected="0">
            <x v="1"/>
          </reference>
        </references>
      </pivotArea>
    </format>
    <format dxfId="379">
      <pivotArea dataOnly="0" labelOnly="1" outline="0" fieldPosition="0">
        <references count="3">
          <reference field="3" count="1" selected="0">
            <x v="181"/>
          </reference>
          <reference field="5" count="1">
            <x v="12"/>
          </reference>
          <reference field="11" count="1" selected="0">
            <x v="1"/>
          </reference>
        </references>
      </pivotArea>
    </format>
    <format dxfId="378">
      <pivotArea dataOnly="0" labelOnly="1" outline="0" fieldPosition="0">
        <references count="3">
          <reference field="3" count="1" selected="0">
            <x v="185"/>
          </reference>
          <reference field="5" count="1">
            <x v="36"/>
          </reference>
          <reference field="11" count="1" selected="0">
            <x v="1"/>
          </reference>
        </references>
      </pivotArea>
    </format>
    <format dxfId="377">
      <pivotArea dataOnly="0" labelOnly="1" outline="0" fieldPosition="0">
        <references count="3">
          <reference field="3" count="1" selected="0">
            <x v="1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376">
      <pivotArea dataOnly="0" labelOnly="1" outline="0" fieldPosition="0">
        <references count="3">
          <reference field="3" count="1" selected="0">
            <x v="14"/>
          </reference>
          <reference field="5" count="1">
            <x v="9"/>
          </reference>
          <reference field="11" count="1" selected="0">
            <x v="2"/>
          </reference>
        </references>
      </pivotArea>
    </format>
    <format dxfId="375">
      <pivotArea dataOnly="0" labelOnly="1" outline="0" fieldPosition="0">
        <references count="3">
          <reference field="3" count="1" selected="0">
            <x v="17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374">
      <pivotArea dataOnly="0" labelOnly="1" outline="0" fieldPosition="0">
        <references count="3">
          <reference field="3" count="1" selected="0">
            <x v="19"/>
          </reference>
          <reference field="5" count="1">
            <x v="1"/>
          </reference>
          <reference field="11" count="1" selected="0">
            <x v="2"/>
          </reference>
        </references>
      </pivotArea>
    </format>
    <format dxfId="373">
      <pivotArea dataOnly="0" labelOnly="1" outline="0" fieldPosition="0">
        <references count="3">
          <reference field="3" count="1" selected="0">
            <x v="21"/>
          </reference>
          <reference field="5" count="1">
            <x v="8"/>
          </reference>
          <reference field="11" count="1" selected="0">
            <x v="2"/>
          </reference>
        </references>
      </pivotArea>
    </format>
    <format dxfId="372">
      <pivotArea dataOnly="0" labelOnly="1" outline="0" fieldPosition="0">
        <references count="3">
          <reference field="3" count="1" selected="0">
            <x v="40"/>
          </reference>
          <reference field="5" count="1">
            <x v="6"/>
          </reference>
          <reference field="11" count="1" selected="0">
            <x v="2"/>
          </reference>
        </references>
      </pivotArea>
    </format>
    <format dxfId="371">
      <pivotArea dataOnly="0" labelOnly="1" outline="0" fieldPosition="0">
        <references count="3">
          <reference field="3" count="1" selected="0">
            <x v="43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370">
      <pivotArea dataOnly="0" labelOnly="1" outline="0" fieldPosition="0">
        <references count="3">
          <reference field="3" count="1" selected="0">
            <x v="51"/>
          </reference>
          <reference field="5" count="1">
            <x v="2"/>
          </reference>
          <reference field="11" count="1" selected="0">
            <x v="2"/>
          </reference>
        </references>
      </pivotArea>
    </format>
    <format dxfId="369">
      <pivotArea dataOnly="0" labelOnly="1" outline="0" fieldPosition="0">
        <references count="3">
          <reference field="3" count="1" selected="0">
            <x v="56"/>
          </reference>
          <reference field="5" count="1">
            <x v="10"/>
          </reference>
          <reference field="11" count="1" selected="0">
            <x v="2"/>
          </reference>
        </references>
      </pivotArea>
    </format>
    <format dxfId="368">
      <pivotArea dataOnly="0" labelOnly="1" outline="0" fieldPosition="0">
        <references count="3">
          <reference field="3" count="1" selected="0">
            <x v="57"/>
          </reference>
          <reference field="5" count="1">
            <x v="7"/>
          </reference>
          <reference field="11" count="1" selected="0">
            <x v="2"/>
          </reference>
        </references>
      </pivotArea>
    </format>
    <format dxfId="367">
      <pivotArea dataOnly="0" labelOnly="1" outline="0" fieldPosition="0">
        <references count="3">
          <reference field="3" count="1" selected="0">
            <x v="70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366">
      <pivotArea dataOnly="0" labelOnly="1" outline="0" fieldPosition="0">
        <references count="3">
          <reference field="3" count="1" selected="0">
            <x v="72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365">
      <pivotArea dataOnly="0" labelOnly="1" outline="0" fieldPosition="0">
        <references count="3">
          <reference field="3" count="1" selected="0">
            <x v="74"/>
          </reference>
          <reference field="5" count="1">
            <x v="3"/>
          </reference>
          <reference field="11" count="1" selected="0">
            <x v="2"/>
          </reference>
        </references>
      </pivotArea>
    </format>
    <format dxfId="364">
      <pivotArea dataOnly="0" labelOnly="1" outline="0" fieldPosition="0">
        <references count="3">
          <reference field="3" count="1" selected="0">
            <x v="79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363">
      <pivotArea dataOnly="0" labelOnly="1" outline="0" fieldPosition="0">
        <references count="3">
          <reference field="3" count="1" selected="0">
            <x v="104"/>
          </reference>
          <reference field="5" count="1">
            <x v="9"/>
          </reference>
          <reference field="11" count="1" selected="0">
            <x v="2"/>
          </reference>
        </references>
      </pivotArea>
    </format>
    <format dxfId="362">
      <pivotArea dataOnly="0" labelOnly="1" outline="0" fieldPosition="0">
        <references count="3">
          <reference field="3" count="1" selected="0">
            <x v="105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361">
      <pivotArea dataOnly="0" labelOnly="1" outline="0" fieldPosition="0">
        <references count="3">
          <reference field="3" count="1" selected="0">
            <x v="108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360">
      <pivotArea dataOnly="0" labelOnly="1" outline="0" fieldPosition="0">
        <references count="3">
          <reference field="3" count="1" selected="0">
            <x v="134"/>
          </reference>
          <reference field="5" count="1">
            <x v="0"/>
          </reference>
          <reference field="11" count="1" selected="0">
            <x v="2"/>
          </reference>
        </references>
      </pivotArea>
    </format>
    <format dxfId="359">
      <pivotArea dataOnly="0" labelOnly="1" outline="0" fieldPosition="0">
        <references count="3">
          <reference field="3" count="1" selected="0">
            <x v="149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358">
      <pivotArea dataOnly="0" labelOnly="1" outline="0" fieldPosition="0">
        <references count="3">
          <reference field="3" count="1" selected="0">
            <x v="171"/>
          </reference>
          <reference field="5" count="1">
            <x v="5"/>
          </reference>
          <reference field="11" count="1" selected="0">
            <x v="2"/>
          </reference>
        </references>
      </pivotArea>
    </format>
    <format dxfId="357">
      <pivotArea dataOnly="0" labelOnly="1" outline="0" fieldPosition="0">
        <references count="3">
          <reference field="3" count="1" selected="0">
            <x v="180"/>
          </reference>
          <reference field="5" count="1">
            <x v="4"/>
          </reference>
          <reference field="11" count="1" selected="0">
            <x v="2"/>
          </reference>
        </references>
      </pivotArea>
    </format>
    <format dxfId="356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58"/>
          </reference>
          <reference field="10" count="1">
            <x v="19"/>
          </reference>
          <reference field="11" count="1" selected="0">
            <x v="0"/>
          </reference>
        </references>
      </pivotArea>
    </format>
    <format dxfId="35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59"/>
          </reference>
          <reference field="10" count="1">
            <x v="18"/>
          </reference>
          <reference field="11" count="1" selected="0">
            <x v="0"/>
          </reference>
        </references>
      </pivotArea>
    </format>
    <format dxfId="35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70"/>
          </reference>
          <reference field="10" count="1">
            <x v="14"/>
          </reference>
          <reference field="11" count="1" selected="0">
            <x v="0"/>
          </reference>
        </references>
      </pivotArea>
    </format>
    <format dxfId="353">
      <pivotArea dataOnly="0" labelOnly="1" outline="0" fieldPosition="0">
        <references count="4">
          <reference field="3" count="1" selected="0">
            <x v="13"/>
          </reference>
          <reference field="5" count="1" selected="0">
            <x v="83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352">
      <pivotArea dataOnly="0" labelOnly="1" outline="0" fieldPosition="0">
        <references count="4">
          <reference field="3" count="1" selected="0">
            <x v="16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351">
      <pivotArea dataOnly="0" labelOnly="1" outline="0" fieldPosition="0">
        <references count="4">
          <reference field="3" count="1" selected="0">
            <x v="20"/>
          </reference>
          <reference field="5" count="1" selected="0">
            <x v="72"/>
          </reference>
          <reference field="10" count="1">
            <x v="13"/>
          </reference>
          <reference field="11" count="1" selected="0">
            <x v="0"/>
          </reference>
        </references>
      </pivotArea>
    </format>
    <format dxfId="350">
      <pivotArea dataOnly="0" labelOnly="1" outline="0" fieldPosition="0">
        <references count="4">
          <reference field="3" count="1" selected="0">
            <x v="22"/>
          </reference>
          <reference field="5" count="1" selected="0">
            <x v="67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349">
      <pivotArea dataOnly="0" labelOnly="1" outline="0" fieldPosition="0">
        <references count="4">
          <reference field="3" count="1" selected="0">
            <x v="23"/>
          </reference>
          <reference field="5" count="1" selected="0">
            <x v="93"/>
          </reference>
          <reference field="10" count="1">
            <x v="3"/>
          </reference>
          <reference field="11" count="1" selected="0">
            <x v="0"/>
          </reference>
        </references>
      </pivotArea>
    </format>
    <format dxfId="348">
      <pivotArea dataOnly="0" labelOnly="1" outline="0" fieldPosition="0">
        <references count="4">
          <reference field="3" count="1" selected="0">
            <x v="24"/>
          </reference>
          <reference field="5" count="1" selected="0">
            <x v="82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347">
      <pivotArea dataOnly="0" labelOnly="1" outline="0" fieldPosition="0">
        <references count="4">
          <reference field="3" count="1" selected="0">
            <x v="25"/>
          </reference>
          <reference field="5" count="1" selected="0">
            <x v="67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346">
      <pivotArea dataOnly="0" labelOnly="1" outline="0" fieldPosition="0">
        <references count="4">
          <reference field="3" count="1" selected="0">
            <x v="27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345">
      <pivotArea dataOnly="0" labelOnly="1" outline="0" fieldPosition="0">
        <references count="4">
          <reference field="3" count="1" selected="0">
            <x v="28"/>
          </reference>
          <reference field="5" count="1" selected="0">
            <x v="56"/>
          </reference>
          <reference field="10" count="1">
            <x v="20"/>
          </reference>
          <reference field="11" count="1" selected="0">
            <x v="0"/>
          </reference>
        </references>
      </pivotArea>
    </format>
    <format dxfId="344">
      <pivotArea dataOnly="0" labelOnly="1" outline="0" fieldPosition="0">
        <references count="4">
          <reference field="3" count="1" selected="0">
            <x v="30"/>
          </reference>
          <reference field="5" count="1" selected="0">
            <x v="105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343">
      <pivotArea dataOnly="0" labelOnly="1" outline="0" fieldPosition="0">
        <references count="4">
          <reference field="3" count="1" selected="0">
            <x v="31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342">
      <pivotArea dataOnly="0" labelOnly="1" outline="0" fieldPosition="0">
        <references count="4">
          <reference field="3" count="1" selected="0">
            <x v="34"/>
          </reference>
          <reference field="5" count="1" selected="0">
            <x v="85"/>
          </reference>
          <reference field="10" count="1">
            <x v="6"/>
          </reference>
          <reference field="11" count="1" selected="0">
            <x v="0"/>
          </reference>
        </references>
      </pivotArea>
    </format>
    <format dxfId="341">
      <pivotArea dataOnly="0" labelOnly="1" outline="0" fieldPosition="0">
        <references count="4">
          <reference field="3" count="1" selected="0">
            <x v="35"/>
          </reference>
          <reference field="5" count="1" selected="0">
            <x v="64"/>
          </reference>
          <reference field="10" count="1">
            <x v="16"/>
          </reference>
          <reference field="11" count="1" selected="0">
            <x v="0"/>
          </reference>
        </references>
      </pivotArea>
    </format>
    <format dxfId="340">
      <pivotArea dataOnly="0" labelOnly="1" outline="0" fieldPosition="0">
        <references count="4">
          <reference field="3" count="1" selected="0">
            <x v="36"/>
          </reference>
          <reference field="5" count="1" selected="0">
            <x v="69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339">
      <pivotArea dataOnly="0" labelOnly="1" outline="0" fieldPosition="0">
        <references count="4">
          <reference field="3" count="1" selected="0">
            <x v="37"/>
          </reference>
          <reference field="5" count="1" selected="0">
            <x v="90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338">
      <pivotArea dataOnly="0" labelOnly="1" outline="0" fieldPosition="0">
        <references count="4">
          <reference field="3" count="1" selected="0">
            <x v="38"/>
          </reference>
          <reference field="5" count="1" selected="0">
            <x v="92"/>
          </reference>
          <reference field="10" count="1">
            <x v="4"/>
          </reference>
          <reference field="11" count="1" selected="0">
            <x v="0"/>
          </reference>
        </references>
      </pivotArea>
    </format>
    <format dxfId="337">
      <pivotArea dataOnly="0" labelOnly="1" outline="0" fieldPosition="0">
        <references count="4">
          <reference field="3" count="1" selected="0">
            <x v="41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336">
      <pivotArea dataOnly="0" labelOnly="1" outline="0" fieldPosition="0">
        <references count="4">
          <reference field="3" count="1" selected="0">
            <x v="42"/>
          </reference>
          <reference field="5" count="1" selected="0">
            <x v="103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335">
      <pivotArea dataOnly="0" labelOnly="1" outline="0" fieldPosition="0">
        <references count="4">
          <reference field="3" count="1" selected="0">
            <x v="45"/>
          </reference>
          <reference field="5" count="1" selected="0">
            <x v="98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334">
      <pivotArea dataOnly="0" labelOnly="1" outline="0" fieldPosition="0">
        <references count="4">
          <reference field="3" count="1" selected="0">
            <x v="48"/>
          </reference>
          <reference field="5" count="1" selected="0">
            <x v="80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333">
      <pivotArea dataOnly="0" labelOnly="1" outline="0" fieldPosition="0">
        <references count="4">
          <reference field="3" count="1" selected="0">
            <x v="54"/>
          </reference>
          <reference field="5" count="1" selected="0">
            <x v="74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332">
      <pivotArea dataOnly="0" labelOnly="1" outline="0" fieldPosition="0">
        <references count="4">
          <reference field="3" count="1" selected="0">
            <x v="55"/>
          </reference>
          <reference field="5" count="1" selected="0">
            <x v="96"/>
          </reference>
          <reference field="10" count="1">
            <x v="3"/>
          </reference>
          <reference field="11" count="1" selected="0">
            <x v="0"/>
          </reference>
        </references>
      </pivotArea>
    </format>
    <format dxfId="331">
      <pivotArea dataOnly="0" labelOnly="1" outline="0" fieldPosition="0">
        <references count="4">
          <reference field="3" count="1" selected="0">
            <x v="58"/>
          </reference>
          <reference field="5" count="1" selected="0">
            <x v="104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330">
      <pivotArea dataOnly="0" labelOnly="1" outline="0" fieldPosition="0">
        <references count="4">
          <reference field="3" count="1" selected="0">
            <x v="59"/>
          </reference>
          <reference field="5" count="1" selected="0">
            <x v="67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329">
      <pivotArea dataOnly="0" labelOnly="1" outline="0" fieldPosition="0">
        <references count="4">
          <reference field="3" count="1" selected="0">
            <x v="64"/>
          </reference>
          <reference field="5" count="1" selected="0">
            <x v="84"/>
          </reference>
          <reference field="10" count="1">
            <x v="7"/>
          </reference>
          <reference field="11" count="1" selected="0">
            <x v="0"/>
          </reference>
        </references>
      </pivotArea>
    </format>
    <format dxfId="328">
      <pivotArea dataOnly="0" labelOnly="1" outline="0" fieldPosition="0">
        <references count="4">
          <reference field="3" count="1" selected="0">
            <x v="65"/>
          </reference>
          <reference field="5" count="1" selected="0">
            <x v="94"/>
          </reference>
          <reference field="10" count="1">
            <x v="3"/>
          </reference>
          <reference field="11" count="1" selected="0">
            <x v="0"/>
          </reference>
        </references>
      </pivotArea>
    </format>
    <format dxfId="327">
      <pivotArea dataOnly="0" labelOnly="1" outline="0" fieldPosition="0">
        <references count="4">
          <reference field="3" count="1" selected="0">
            <x v="66"/>
          </reference>
          <reference field="5" count="1" selected="0">
            <x v="84"/>
          </reference>
          <reference field="10" count="1">
            <x v="7"/>
          </reference>
          <reference field="11" count="1" selected="0">
            <x v="0"/>
          </reference>
        </references>
      </pivotArea>
    </format>
    <format dxfId="326">
      <pivotArea dataOnly="0" labelOnly="1" outline="0" fieldPosition="0">
        <references count="4">
          <reference field="3" count="1" selected="0">
            <x v="71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325">
      <pivotArea dataOnly="0" labelOnly="1" outline="0" fieldPosition="0">
        <references count="4">
          <reference field="3" count="1" selected="0">
            <x v="73"/>
          </reference>
          <reference field="5" count="1" selected="0">
            <x v="61"/>
          </reference>
          <reference field="10" count="1">
            <x v="17"/>
          </reference>
          <reference field="11" count="1" selected="0">
            <x v="0"/>
          </reference>
        </references>
      </pivotArea>
    </format>
    <format dxfId="324">
      <pivotArea dataOnly="0" labelOnly="1" outline="0" fieldPosition="0">
        <references count="4">
          <reference field="3" count="1" selected="0">
            <x v="78"/>
          </reference>
          <reference field="5" count="1" selected="0">
            <x v="57"/>
          </reference>
          <reference field="10" count="1">
            <x v="20"/>
          </reference>
          <reference field="11" count="1" selected="0">
            <x v="0"/>
          </reference>
        </references>
      </pivotArea>
    </format>
    <format dxfId="323">
      <pivotArea dataOnly="0" labelOnly="1" outline="0" fieldPosition="0">
        <references count="4">
          <reference field="3" count="1" selected="0">
            <x v="80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322">
      <pivotArea dataOnly="0" labelOnly="1" outline="0" fieldPosition="0">
        <references count="4">
          <reference field="3" count="1" selected="0">
            <x v="81"/>
          </reference>
          <reference field="5" count="1" selected="0">
            <x v="89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321">
      <pivotArea dataOnly="0" labelOnly="1" outline="0" fieldPosition="0">
        <references count="4">
          <reference field="3" count="1" selected="0">
            <x v="82"/>
          </reference>
          <reference field="5" count="1" selected="0">
            <x v="103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320">
      <pivotArea dataOnly="0" labelOnly="1" outline="0" fieldPosition="0">
        <references count="4">
          <reference field="3" count="1" selected="0">
            <x v="84"/>
          </reference>
          <reference field="5" count="1" selected="0">
            <x v="91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319">
      <pivotArea dataOnly="0" labelOnly="1" outline="0" fieldPosition="0">
        <references count="4">
          <reference field="3" count="1" selected="0">
            <x v="86"/>
          </reference>
          <reference field="5" count="1" selected="0">
            <x v="67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318">
      <pivotArea dataOnly="0" labelOnly="1" outline="0" fieldPosition="0">
        <references count="4">
          <reference field="3" count="1" selected="0">
            <x v="87"/>
          </reference>
          <reference field="5" count="1" selected="0">
            <x v="84"/>
          </reference>
          <reference field="10" count="1">
            <x v="7"/>
          </reference>
          <reference field="11" count="1" selected="0">
            <x v="0"/>
          </reference>
        </references>
      </pivotArea>
    </format>
    <format dxfId="317">
      <pivotArea dataOnly="0" labelOnly="1" outline="0" fieldPosition="0">
        <references count="4">
          <reference field="3" count="1" selected="0">
            <x v="88"/>
          </reference>
          <reference field="5" count="1" selected="0">
            <x v="87"/>
          </reference>
          <reference field="10" count="1">
            <x v="6"/>
          </reference>
          <reference field="11" count="1" selected="0">
            <x v="0"/>
          </reference>
        </references>
      </pivotArea>
    </format>
    <format dxfId="316">
      <pivotArea dataOnly="0" labelOnly="1" outline="0" fieldPosition="0">
        <references count="4">
          <reference field="3" count="1" selected="0">
            <x v="90"/>
          </reference>
          <reference field="5" count="1" selected="0">
            <x v="78"/>
          </reference>
          <reference field="10" count="1">
            <x v="10"/>
          </reference>
          <reference field="11" count="1" selected="0">
            <x v="0"/>
          </reference>
        </references>
      </pivotArea>
    </format>
    <format dxfId="315">
      <pivotArea dataOnly="0" labelOnly="1" outline="0" fieldPosition="0">
        <references count="4">
          <reference field="3" count="1" selected="0">
            <x v="91"/>
          </reference>
          <reference field="5" count="1" selected="0">
            <x v="81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314">
      <pivotArea dataOnly="0" labelOnly="1" outline="0" fieldPosition="0">
        <references count="4">
          <reference field="3" count="1" selected="0">
            <x v="92"/>
          </reference>
          <reference field="5" count="1" selected="0">
            <x v="60"/>
          </reference>
          <reference field="10" count="1">
            <x v="18"/>
          </reference>
          <reference field="11" count="1" selected="0">
            <x v="0"/>
          </reference>
        </references>
      </pivotArea>
    </format>
    <format dxfId="313">
      <pivotArea dataOnly="0" labelOnly="1" outline="0" fieldPosition="0">
        <references count="4">
          <reference field="3" count="1" selected="0">
            <x v="93"/>
          </reference>
          <reference field="5" count="1" selected="0">
            <x v="102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312">
      <pivotArea dataOnly="0" labelOnly="1" outline="0" fieldPosition="0">
        <references count="4">
          <reference field="3" count="1" selected="0">
            <x v="94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311">
      <pivotArea dataOnly="0" labelOnly="1" outline="0" fieldPosition="0">
        <references count="4">
          <reference field="3" count="1" selected="0">
            <x v="96"/>
          </reference>
          <reference field="5" count="1" selected="0">
            <x v="106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310">
      <pivotArea dataOnly="0" labelOnly="1" outline="0" fieldPosition="0">
        <references count="4">
          <reference field="3" count="1" selected="0">
            <x v="100"/>
          </reference>
          <reference field="5" count="1" selected="0">
            <x v="82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309">
      <pivotArea dataOnly="0" labelOnly="1" outline="0" fieldPosition="0">
        <references count="4">
          <reference field="3" count="1" selected="0">
            <x v="101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308">
      <pivotArea dataOnly="0" labelOnly="1" outline="0" fieldPosition="0">
        <references count="4">
          <reference field="3" count="1" selected="0">
            <x v="102"/>
          </reference>
          <reference field="5" count="1" selected="0">
            <x v="76"/>
          </reference>
          <reference field="10" count="1">
            <x v="11"/>
          </reference>
          <reference field="11" count="1" selected="0">
            <x v="0"/>
          </reference>
        </references>
      </pivotArea>
    </format>
    <format dxfId="307">
      <pivotArea dataOnly="0" labelOnly="1" outline="0" fieldPosition="0">
        <references count="4">
          <reference field="3" count="1" selected="0">
            <x v="106"/>
          </reference>
          <reference field="5" count="1" selected="0">
            <x v="97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306">
      <pivotArea dataOnly="0" labelOnly="1" outline="0" fieldPosition="0">
        <references count="4">
          <reference field="3" count="1" selected="0">
            <x v="112"/>
          </reference>
          <reference field="5" count="1" selected="0">
            <x v="105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305">
      <pivotArea dataOnly="0" labelOnly="1" outline="0" fieldPosition="0">
        <references count="4">
          <reference field="3" count="1" selected="0">
            <x v="114"/>
          </reference>
          <reference field="5" count="1" selected="0">
            <x v="98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304">
      <pivotArea dataOnly="0" labelOnly="1" outline="0" fieldPosition="0">
        <references count="4">
          <reference field="3" count="1" selected="0">
            <x v="116"/>
          </reference>
          <reference field="5" count="1" selected="0">
            <x v="103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303">
      <pivotArea dataOnly="0" labelOnly="1" outline="0" fieldPosition="0">
        <references count="4">
          <reference field="3" count="1" selected="0">
            <x v="118"/>
          </reference>
          <reference field="5" count="1" selected="0">
            <x v="80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302">
      <pivotArea dataOnly="0" labelOnly="1" outline="0" fieldPosition="0">
        <references count="4">
          <reference field="3" count="1" selected="0">
            <x v="120"/>
          </reference>
          <reference field="5" count="1" selected="0">
            <x v="65"/>
          </reference>
          <reference field="10" count="1">
            <x v="16"/>
          </reference>
          <reference field="11" count="1" selected="0">
            <x v="0"/>
          </reference>
        </references>
      </pivotArea>
    </format>
    <format dxfId="301">
      <pivotArea dataOnly="0" labelOnly="1" outline="0" fieldPosition="0">
        <references count="4">
          <reference field="3" count="1" selected="0">
            <x v="121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300">
      <pivotArea dataOnly="0" labelOnly="1" outline="0" fieldPosition="0">
        <references count="4">
          <reference field="3" count="1" selected="0">
            <x v="122"/>
          </reference>
          <reference field="5" count="1" selected="0">
            <x v="98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299">
      <pivotArea dataOnly="0" labelOnly="1" outline="0" fieldPosition="0">
        <references count="4">
          <reference field="3" count="1" selected="0">
            <x v="123"/>
          </reference>
          <reference field="5" count="1" selected="0">
            <x v="69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298">
      <pivotArea dataOnly="0" labelOnly="1" outline="0" fieldPosition="0">
        <references count="4">
          <reference field="3" count="1" selected="0">
            <x v="124"/>
          </reference>
          <reference field="5" count="1" selected="0">
            <x v="102"/>
          </reference>
          <reference field="10" count="1">
            <x v="0"/>
          </reference>
          <reference field="11" count="1" selected="0">
            <x v="0"/>
          </reference>
        </references>
      </pivotArea>
    </format>
    <format dxfId="297">
      <pivotArea dataOnly="0" labelOnly="1" outline="0" fieldPosition="0">
        <references count="4">
          <reference field="3" count="1" selected="0">
            <x v="126"/>
          </reference>
          <reference field="5" count="1" selected="0">
            <x v="81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296">
      <pivotArea dataOnly="0" labelOnly="1" outline="0" fieldPosition="0">
        <references count="4">
          <reference field="3" count="1" selected="0">
            <x v="128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295">
      <pivotArea dataOnly="0" labelOnly="1" outline="0" fieldPosition="0">
        <references count="4">
          <reference field="3" count="1" selected="0">
            <x v="132"/>
          </reference>
          <reference field="5" count="1" selected="0">
            <x v="71"/>
          </reference>
          <reference field="10" count="1">
            <x v="14"/>
          </reference>
          <reference field="11" count="1" selected="0">
            <x v="0"/>
          </reference>
        </references>
      </pivotArea>
    </format>
    <format dxfId="294">
      <pivotArea dataOnly="0" labelOnly="1" outline="0" fieldPosition="0">
        <references count="4">
          <reference field="3" count="1" selected="0">
            <x v="136"/>
          </reference>
          <reference field="5" count="1" selected="0">
            <x v="99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293">
      <pivotArea dataOnly="0" labelOnly="1" outline="0" fieldPosition="0">
        <references count="4">
          <reference field="3" count="1" selected="0">
            <x v="138"/>
          </reference>
          <reference field="5" count="1" selected="0">
            <x v="66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292">
      <pivotArea dataOnly="0" labelOnly="1" outline="0" fieldPosition="0">
        <references count="4">
          <reference field="3" count="1" selected="0">
            <x v="140"/>
          </reference>
          <reference field="5" count="1" selected="0">
            <x v="97"/>
          </reference>
          <reference field="10" count="1">
            <x v="2"/>
          </reference>
          <reference field="11" count="1" selected="0">
            <x v="0"/>
          </reference>
        </references>
      </pivotArea>
    </format>
    <format dxfId="291">
      <pivotArea dataOnly="0" labelOnly="1" outline="0" fieldPosition="0">
        <references count="4">
          <reference field="3" count="1" selected="0">
            <x v="142"/>
          </reference>
          <reference field="5" count="1" selected="0">
            <x v="82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290">
      <pivotArea dataOnly="0" labelOnly="1" outline="0" fieldPosition="0">
        <references count="4">
          <reference field="3" count="1" selected="0">
            <x v="143"/>
          </reference>
          <reference field="5" count="1" selected="0">
            <x v="88"/>
          </reference>
          <reference field="10" count="1">
            <x v="5"/>
          </reference>
          <reference field="11" count="1" selected="0">
            <x v="0"/>
          </reference>
        </references>
      </pivotArea>
    </format>
    <format dxfId="289">
      <pivotArea dataOnly="0" labelOnly="1" outline="0" fieldPosition="0">
        <references count="4">
          <reference field="3" count="1" selected="0">
            <x v="144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288">
      <pivotArea dataOnly="0" labelOnly="1" outline="0" fieldPosition="0">
        <references count="4">
          <reference field="3" count="1" selected="0">
            <x v="145"/>
          </reference>
          <reference field="5" count="1" selected="0">
            <x v="80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287">
      <pivotArea dataOnly="0" labelOnly="1" outline="0" fieldPosition="0">
        <references count="4">
          <reference field="3" count="1" selected="0">
            <x v="150"/>
          </reference>
          <reference field="5" count="1" selected="0">
            <x v="66"/>
          </reference>
          <reference field="10" count="1">
            <x v="15"/>
          </reference>
          <reference field="11" count="1" selected="0">
            <x v="0"/>
          </reference>
        </references>
      </pivotArea>
    </format>
    <format dxfId="286">
      <pivotArea dataOnly="0" labelOnly="1" outline="0" fieldPosition="0">
        <references count="4">
          <reference field="3" count="1" selected="0">
            <x v="153"/>
          </reference>
          <reference field="5" count="1" selected="0">
            <x v="79"/>
          </reference>
          <reference field="10" count="1">
            <x v="9"/>
          </reference>
          <reference field="11" count="1" selected="0">
            <x v="0"/>
          </reference>
        </references>
      </pivotArea>
    </format>
    <format dxfId="285">
      <pivotArea dataOnly="0" labelOnly="1" outline="0" fieldPosition="0">
        <references count="4">
          <reference field="3" count="1" selected="0">
            <x v="154"/>
          </reference>
          <reference field="5" count="1" selected="0">
            <x v="95"/>
          </reference>
          <reference field="10" count="1">
            <x v="3"/>
          </reference>
          <reference field="11" count="1" selected="0">
            <x v="0"/>
          </reference>
        </references>
      </pivotArea>
    </format>
    <format dxfId="284">
      <pivotArea dataOnly="0" labelOnly="1" outline="0" fieldPosition="0">
        <references count="4">
          <reference field="3" count="1" selected="0">
            <x v="155"/>
          </reference>
          <reference field="5" count="1" selected="0">
            <x v="80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283">
      <pivotArea dataOnly="0" labelOnly="1" outline="0" fieldPosition="0">
        <references count="4">
          <reference field="3" count="1" selected="0">
            <x v="158"/>
          </reference>
          <reference field="5" count="1" selected="0">
            <x v="77"/>
          </reference>
          <reference field="10" count="1">
            <x v="10"/>
          </reference>
          <reference field="11" count="1" selected="0">
            <x v="0"/>
          </reference>
        </references>
      </pivotArea>
    </format>
    <format dxfId="282">
      <pivotArea dataOnly="0" labelOnly="1" outline="0" fieldPosition="0">
        <references count="4">
          <reference field="3" count="1" selected="0">
            <x v="160"/>
          </reference>
          <reference field="5" count="1" selected="0">
            <x v="56"/>
          </reference>
          <reference field="10" count="1">
            <x v="20"/>
          </reference>
          <reference field="11" count="1" selected="0">
            <x v="0"/>
          </reference>
        </references>
      </pivotArea>
    </format>
    <format dxfId="281">
      <pivotArea dataOnly="0" labelOnly="1" outline="0" fieldPosition="0">
        <references count="4">
          <reference field="3" count="1" selected="0">
            <x v="161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280">
      <pivotArea dataOnly="0" labelOnly="1" outline="0" fieldPosition="0">
        <references count="4">
          <reference field="3" count="1" selected="0">
            <x v="163"/>
          </reference>
          <reference field="5" count="1" selected="0">
            <x v="63"/>
          </reference>
          <reference field="10" count="1">
            <x v="17"/>
          </reference>
          <reference field="11" count="1" selected="0">
            <x v="0"/>
          </reference>
        </references>
      </pivotArea>
    </format>
    <format dxfId="279">
      <pivotArea dataOnly="0" labelOnly="1" outline="0" fieldPosition="0">
        <references count="4">
          <reference field="3" count="1" selected="0">
            <x v="164"/>
          </reference>
          <reference field="5" count="1" selected="0">
            <x v="81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278">
      <pivotArea dataOnly="0" labelOnly="1" outline="0" fieldPosition="0">
        <references count="4">
          <reference field="3" count="1" selected="0">
            <x v="167"/>
          </reference>
          <reference field="5" count="1" selected="0">
            <x v="75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277">
      <pivotArea dataOnly="0" labelOnly="1" outline="0" fieldPosition="0">
        <references count="4">
          <reference field="3" count="1" selected="0">
            <x v="169"/>
          </reference>
          <reference field="5" count="1" selected="0">
            <x v="100"/>
          </reference>
          <reference field="10" count="1">
            <x v="1"/>
          </reference>
          <reference field="11" count="1" selected="0">
            <x v="0"/>
          </reference>
        </references>
      </pivotArea>
    </format>
    <format dxfId="276">
      <pivotArea dataOnly="0" labelOnly="1" outline="0" fieldPosition="0">
        <references count="4">
          <reference field="3" count="1" selected="0">
            <x v="174"/>
          </reference>
          <reference field="5" count="1" selected="0">
            <x v="56"/>
          </reference>
          <reference field="10" count="1">
            <x v="20"/>
          </reference>
          <reference field="11" count="1" selected="0">
            <x v="0"/>
          </reference>
        </references>
      </pivotArea>
    </format>
    <format dxfId="275">
      <pivotArea dataOnly="0" labelOnly="1" outline="0" fieldPosition="0">
        <references count="4">
          <reference field="3" count="1" selected="0">
            <x v="175"/>
          </reference>
          <reference field="5" count="1" selected="0">
            <x v="62"/>
          </reference>
          <reference field="10" count="1">
            <x v="17"/>
          </reference>
          <reference field="11" count="1" selected="0">
            <x v="0"/>
          </reference>
        </references>
      </pivotArea>
    </format>
    <format dxfId="274">
      <pivotArea dataOnly="0" labelOnly="1" outline="0" fieldPosition="0">
        <references count="4">
          <reference field="3" count="1" selected="0">
            <x v="176"/>
          </reference>
          <reference field="5" count="1" selected="0">
            <x v="73"/>
          </reference>
          <reference field="10" count="1">
            <x v="12"/>
          </reference>
          <reference field="11" count="1" selected="0">
            <x v="0"/>
          </reference>
        </references>
      </pivotArea>
    </format>
    <format dxfId="273">
      <pivotArea dataOnly="0" labelOnly="1" outline="0" fieldPosition="0">
        <references count="4">
          <reference field="3" count="1" selected="0">
            <x v="178"/>
          </reference>
          <reference field="5" count="1" selected="0">
            <x v="63"/>
          </reference>
          <reference field="10" count="1">
            <x v="17"/>
          </reference>
          <reference field="11" count="1" selected="0">
            <x v="0"/>
          </reference>
        </references>
      </pivotArea>
    </format>
    <format dxfId="272">
      <pivotArea dataOnly="0" labelOnly="1" outline="0" fieldPosition="0">
        <references count="4">
          <reference field="3" count="1" selected="0">
            <x v="182"/>
          </reference>
          <reference field="5" count="1" selected="0">
            <x v="101"/>
          </reference>
          <reference field="10" count="1">
            <x v="1"/>
          </reference>
          <reference field="11" count="1" selected="0">
            <x v="0"/>
          </reference>
        </references>
      </pivotArea>
    </format>
    <format dxfId="271">
      <pivotArea dataOnly="0" labelOnly="1" outline="0" fieldPosition="0">
        <references count="4">
          <reference field="3" count="1" selected="0">
            <x v="183"/>
          </reference>
          <reference field="5" count="1" selected="0">
            <x v="81"/>
          </reference>
          <reference field="10" count="1">
            <x v="8"/>
          </reference>
          <reference field="11" count="1" selected="0">
            <x v="0"/>
          </reference>
        </references>
      </pivotArea>
    </format>
    <format dxfId="270">
      <pivotArea dataOnly="0" labelOnly="1" outline="0" fieldPosition="0">
        <references count="4">
          <reference field="3" count="1" selected="0">
            <x v="184"/>
          </reference>
          <reference field="5" count="1" selected="0">
            <x v="86"/>
          </reference>
          <reference field="10" count="1">
            <x v="6"/>
          </reference>
          <reference field="11" count="1" selected="0">
            <x v="0"/>
          </reference>
        </references>
      </pivotArea>
    </format>
    <format dxfId="269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19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26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8"/>
          </reference>
          <reference field="10" count="1">
            <x v="23"/>
          </reference>
          <reference field="11" count="1" selected="0">
            <x v="1"/>
          </reference>
        </references>
      </pivotArea>
    </format>
    <format dxfId="26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266">
      <pivotArea dataOnly="0" labelOnly="1" outline="0" fieldPosition="0">
        <references count="4">
          <reference field="3" count="1" selected="0">
            <x v="7"/>
          </reference>
          <reference field="5" count="1" selected="0">
            <x v="25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265">
      <pivotArea dataOnly="0" labelOnly="1" outline="0" fieldPosition="0">
        <references count="4">
          <reference field="3" count="1" selected="0">
            <x v="8"/>
          </reference>
          <reference field="5" count="1" selected="0">
            <x v="44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264">
      <pivotArea dataOnly="0" labelOnly="1" outline="0" fieldPosition="0">
        <references count="4">
          <reference field="3" count="1" selected="0">
            <x v="9"/>
          </reference>
          <reference field="5" count="1" selected="0">
            <x v="55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263">
      <pivotArea dataOnly="0" labelOnly="1" outline="0" fieldPosition="0">
        <references count="4">
          <reference field="3" count="1" selected="0">
            <x v="11"/>
          </reference>
          <reference field="5" count="1" selected="0">
            <x v="16"/>
          </reference>
          <reference field="10" count="1">
            <x v="34"/>
          </reference>
          <reference field="11" count="1" selected="0">
            <x v="1"/>
          </reference>
        </references>
      </pivotArea>
    </format>
    <format dxfId="262">
      <pivotArea dataOnly="0" labelOnly="1" outline="0" fieldPosition="0">
        <references count="4">
          <reference field="3" count="1" selected="0">
            <x v="12"/>
          </reference>
          <reference field="5" count="1" selected="0">
            <x v="34"/>
          </reference>
          <reference field="10" count="1">
            <x v="27"/>
          </reference>
          <reference field="11" count="1" selected="0">
            <x v="1"/>
          </reference>
        </references>
      </pivotArea>
    </format>
    <format dxfId="261">
      <pivotArea dataOnly="0" labelOnly="1" outline="0" fieldPosition="0">
        <references count="4">
          <reference field="3" count="1" selected="0">
            <x v="15"/>
          </reference>
          <reference field="5" count="1" selected="0">
            <x v="33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260">
      <pivotArea dataOnly="0" labelOnly="1" outline="0" fieldPosition="0">
        <references count="4">
          <reference field="3" count="1" selected="0">
            <x v="18"/>
          </reference>
          <reference field="5" count="1" selected="0">
            <x v="42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259">
      <pivotArea dataOnly="0" labelOnly="1" outline="0" fieldPosition="0">
        <references count="4">
          <reference field="3" count="1" selected="0">
            <x v="26"/>
          </reference>
          <reference field="5" count="1" selected="0">
            <x v="55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258">
      <pivotArea dataOnly="0" labelOnly="1" outline="0" fieldPosition="0">
        <references count="4">
          <reference field="3" count="1" selected="0">
            <x v="29"/>
          </reference>
          <reference field="5" count="1" selected="0">
            <x v="40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257">
      <pivotArea dataOnly="0" labelOnly="1" outline="0" fieldPosition="0">
        <references count="4">
          <reference field="3" count="1" selected="0">
            <x v="32"/>
          </reference>
          <reference field="5" count="1" selected="0">
            <x v="21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256">
      <pivotArea dataOnly="0" labelOnly="1" outline="0" fieldPosition="0">
        <references count="4">
          <reference field="3" count="1" selected="0">
            <x v="33"/>
          </reference>
          <reference field="5" count="1" selected="0">
            <x v="17"/>
          </reference>
          <reference field="10" count="1">
            <x v="33"/>
          </reference>
          <reference field="11" count="1" selected="0">
            <x v="1"/>
          </reference>
        </references>
      </pivotArea>
    </format>
    <format dxfId="255">
      <pivotArea dataOnly="0" labelOnly="1" outline="0" fieldPosition="0">
        <references count="4">
          <reference field="3" count="1" selected="0">
            <x v="39"/>
          </reference>
          <reference field="5" count="1" selected="0">
            <x v="27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254">
      <pivotArea dataOnly="0" labelOnly="1" outline="0" fieldPosition="0">
        <references count="4">
          <reference field="3" count="1" selected="0">
            <x v="44"/>
          </reference>
          <reference field="5" count="1" selected="0">
            <x v="46"/>
          </reference>
          <reference field="10" count="1">
            <x v="24"/>
          </reference>
          <reference field="11" count="1" selected="0">
            <x v="1"/>
          </reference>
        </references>
      </pivotArea>
    </format>
    <format dxfId="253">
      <pivotArea dataOnly="0" labelOnly="1" outline="0" fieldPosition="0">
        <references count="4">
          <reference field="3" count="1" selected="0">
            <x v="46"/>
          </reference>
          <reference field="5" count="1" selected="0">
            <x v="41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252">
      <pivotArea dataOnly="0" labelOnly="1" outline="0" fieldPosition="0">
        <references count="4">
          <reference field="3" count="1" selected="0">
            <x v="47"/>
          </reference>
          <reference field="5" count="1" selected="0">
            <x v="46"/>
          </reference>
          <reference field="10" count="1">
            <x v="24"/>
          </reference>
          <reference field="11" count="1" selected="0">
            <x v="1"/>
          </reference>
        </references>
      </pivotArea>
    </format>
    <format dxfId="251">
      <pivotArea dataOnly="0" labelOnly="1" outline="0" fieldPosition="0">
        <references count="4">
          <reference field="3" count="1" selected="0">
            <x v="52"/>
          </reference>
          <reference field="5" count="1" selected="0">
            <x v="32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250">
      <pivotArea dataOnly="0" labelOnly="1" outline="0" fieldPosition="0">
        <references count="4">
          <reference field="3" count="1" selected="0">
            <x v="53"/>
          </reference>
          <reference field="5" count="1" selected="0">
            <x v="18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249">
      <pivotArea dataOnly="0" labelOnly="1" outline="0" fieldPosition="0">
        <references count="4">
          <reference field="3" count="1" selected="0">
            <x v="60"/>
          </reference>
          <reference field="5" count="1" selected="0">
            <x v="26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248">
      <pivotArea dataOnly="0" labelOnly="1" outline="0" fieldPosition="0">
        <references count="4">
          <reference field="3" count="1" selected="0">
            <x v="61"/>
          </reference>
          <reference field="5" count="1" selected="0">
            <x v="53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247">
      <pivotArea dataOnly="0" labelOnly="1" outline="0" fieldPosition="0">
        <references count="4">
          <reference field="3" count="1" selected="0">
            <x v="62"/>
          </reference>
          <reference field="5" count="1" selected="0">
            <x v="13"/>
          </reference>
          <reference field="10" count="1">
            <x v="35"/>
          </reference>
          <reference field="11" count="1" selected="0">
            <x v="1"/>
          </reference>
        </references>
      </pivotArea>
    </format>
    <format dxfId="246">
      <pivotArea dataOnly="0" labelOnly="1" outline="0" fieldPosition="0">
        <references count="4">
          <reference field="3" count="1" selected="0">
            <x v="63"/>
          </reference>
          <reference field="5" count="1" selected="0">
            <x v="39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245">
      <pivotArea dataOnly="0" labelOnly="1" outline="0" fieldPosition="0">
        <references count="4">
          <reference field="3" count="1" selected="0">
            <x v="67"/>
          </reference>
          <reference field="5" count="1" selected="0">
            <x v="42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244">
      <pivotArea dataOnly="0" labelOnly="1" outline="0" fieldPosition="0">
        <references count="4">
          <reference field="3" count="1" selected="0">
            <x v="69"/>
          </reference>
          <reference field="5" count="1" selected="0">
            <x v="32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243">
      <pivotArea dataOnly="0" labelOnly="1" outline="0" fieldPosition="0">
        <references count="4">
          <reference field="3" count="1" selected="0">
            <x v="75"/>
          </reference>
          <reference field="5" count="1" selected="0">
            <x v="26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242">
      <pivotArea dataOnly="0" labelOnly="1" outline="0" fieldPosition="0">
        <references count="4">
          <reference field="3" count="1" selected="0">
            <x v="76"/>
          </reference>
          <reference field="5" count="1" selected="0">
            <x v="36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241">
      <pivotArea dataOnly="0" labelOnly="1" outline="0" fieldPosition="0">
        <references count="4">
          <reference field="3" count="1" selected="0">
            <x v="83"/>
          </reference>
          <reference field="5" count="1" selected="0">
            <x v="11"/>
          </reference>
          <reference field="10" count="1">
            <x v="36"/>
          </reference>
          <reference field="11" count="1" selected="0">
            <x v="1"/>
          </reference>
        </references>
      </pivotArea>
    </format>
    <format dxfId="240">
      <pivotArea dataOnly="0" labelOnly="1" outline="0" fieldPosition="0">
        <references count="4">
          <reference field="3" count="1" selected="0">
            <x v="95"/>
          </reference>
          <reference field="5" count="1" selected="0">
            <x v="24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239">
      <pivotArea dataOnly="0" labelOnly="1" outline="0" fieldPosition="0">
        <references count="4">
          <reference field="3" count="1" selected="0">
            <x v="97"/>
          </reference>
          <reference field="5" count="1" selected="0">
            <x v="32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238">
      <pivotArea dataOnly="0" labelOnly="1" outline="0" fieldPosition="0">
        <references count="4">
          <reference field="3" count="1" selected="0">
            <x v="98"/>
          </reference>
          <reference field="5" count="1" selected="0">
            <x v="23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237">
      <pivotArea dataOnly="0" labelOnly="1" outline="0" fieldPosition="0">
        <references count="4">
          <reference field="3" count="1" selected="0">
            <x v="99"/>
          </reference>
          <reference field="5" count="1" selected="0">
            <x v="18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236">
      <pivotArea dataOnly="0" labelOnly="1" outline="0" fieldPosition="0">
        <references count="4">
          <reference field="3" count="1" selected="0">
            <x v="109"/>
          </reference>
          <reference field="5" count="1" selected="0">
            <x v="50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235">
      <pivotArea dataOnly="0" labelOnly="1" outline="0" fieldPosition="0">
        <references count="4">
          <reference field="3" count="1" selected="0">
            <x v="110"/>
          </reference>
          <reference field="5" count="1" selected="0">
            <x v="33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234">
      <pivotArea dataOnly="0" labelOnly="1" outline="0" fieldPosition="0">
        <references count="4">
          <reference field="3" count="1" selected="0">
            <x v="111"/>
          </reference>
          <reference field="5" count="1" selected="0">
            <x v="51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233">
      <pivotArea dataOnly="0" labelOnly="1" outline="0" fieldPosition="0">
        <references count="4">
          <reference field="3" count="1" selected="0">
            <x v="113"/>
          </reference>
          <reference field="5" count="1" selected="0">
            <x v="55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232">
      <pivotArea dataOnly="0" labelOnly="1" outline="0" fieldPosition="0">
        <references count="4">
          <reference field="3" count="1" selected="0">
            <x v="115"/>
          </reference>
          <reference field="5" count="1" selected="0">
            <x v="28"/>
          </reference>
          <reference field="10" count="1">
            <x v="30"/>
          </reference>
          <reference field="11" count="1" selected="0">
            <x v="1"/>
          </reference>
        </references>
      </pivotArea>
    </format>
    <format dxfId="231">
      <pivotArea dataOnly="0" labelOnly="1" outline="0" fieldPosition="0">
        <references count="4">
          <reference field="3" count="1" selected="0">
            <x v="117"/>
          </reference>
          <reference field="5" count="1" selected="0">
            <x v="15"/>
          </reference>
          <reference field="10" count="1">
            <x v="34"/>
          </reference>
          <reference field="11" count="1" selected="0">
            <x v="1"/>
          </reference>
        </references>
      </pivotArea>
    </format>
    <format dxfId="230">
      <pivotArea dataOnly="0" labelOnly="1" outline="0" fieldPosition="0">
        <references count="4">
          <reference field="3" count="1" selected="0">
            <x v="119"/>
          </reference>
          <reference field="5" count="1" selected="0">
            <x v="24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229">
      <pivotArea dataOnly="0" labelOnly="1" outline="0" fieldPosition="0">
        <references count="4">
          <reference field="3" count="1" selected="0">
            <x v="125"/>
          </reference>
          <reference field="5" count="1" selected="0">
            <x v="49"/>
          </reference>
          <reference field="10" count="1">
            <x v="23"/>
          </reference>
          <reference field="11" count="1" selected="0">
            <x v="1"/>
          </reference>
        </references>
      </pivotArea>
    </format>
    <format dxfId="228">
      <pivotArea dataOnly="0" labelOnly="1" outline="0" fieldPosition="0">
        <references count="4">
          <reference field="3" count="1" selected="0">
            <x v="127"/>
          </reference>
          <reference field="5" count="1" selected="0">
            <x v="40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227">
      <pivotArea dataOnly="0" labelOnly="1" outline="0" fieldPosition="0">
        <references count="4">
          <reference field="3" count="1" selected="0">
            <x v="129"/>
          </reference>
          <reference field="5" count="1" selected="0">
            <x v="53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226">
      <pivotArea dataOnly="0" labelOnly="1" outline="0" fieldPosition="0">
        <references count="4">
          <reference field="3" count="1" selected="0">
            <x v="130"/>
          </reference>
          <reference field="5" count="1" selected="0">
            <x v="54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225">
      <pivotArea dataOnly="0" labelOnly="1" outline="0" fieldPosition="0">
        <references count="4">
          <reference field="3" count="1" selected="0">
            <x v="131"/>
          </reference>
          <reference field="5" count="1" selected="0">
            <x v="29"/>
          </reference>
          <reference field="10" count="1">
            <x v="30"/>
          </reference>
          <reference field="11" count="1" selected="0">
            <x v="1"/>
          </reference>
        </references>
      </pivotArea>
    </format>
    <format dxfId="224">
      <pivotArea dataOnly="0" labelOnly="1" outline="0" fieldPosition="0">
        <references count="4">
          <reference field="3" count="1" selected="0">
            <x v="133"/>
          </reference>
          <reference field="5" count="1" selected="0">
            <x v="34"/>
          </reference>
          <reference field="10" count="1">
            <x v="27"/>
          </reference>
          <reference field="11" count="1" selected="0">
            <x v="1"/>
          </reference>
        </references>
      </pivotArea>
    </format>
    <format dxfId="223">
      <pivotArea dataOnly="0" labelOnly="1" outline="0" fieldPosition="0">
        <references count="4">
          <reference field="3" count="1" selected="0">
            <x v="135"/>
          </reference>
          <reference field="5" count="1" selected="0">
            <x v="37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222">
      <pivotArea dataOnly="0" labelOnly="1" outline="0" fieldPosition="0">
        <references count="4">
          <reference field="3" count="1" selected="0">
            <x v="137"/>
          </reference>
          <reference field="5" count="1" selected="0">
            <x v="22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221">
      <pivotArea dataOnly="0" labelOnly="1" outline="0" fieldPosition="0">
        <references count="4">
          <reference field="3" count="1" selected="0">
            <x v="139"/>
          </reference>
          <reference field="5" count="1" selected="0">
            <x v="14"/>
          </reference>
          <reference field="10" count="1">
            <x v="35"/>
          </reference>
          <reference field="11" count="1" selected="0">
            <x v="1"/>
          </reference>
        </references>
      </pivotArea>
    </format>
    <format dxfId="220">
      <pivotArea dataOnly="0" labelOnly="1" outline="0" fieldPosition="0">
        <references count="4">
          <reference field="3" count="1" selected="0">
            <x v="141"/>
          </reference>
          <reference field="5" count="1" selected="0">
            <x v="35"/>
          </reference>
          <reference field="10" count="1">
            <x v="27"/>
          </reference>
          <reference field="11" count="1" selected="0">
            <x v="1"/>
          </reference>
        </references>
      </pivotArea>
    </format>
    <format dxfId="219">
      <pivotArea dataOnly="0" labelOnly="1" outline="0" fieldPosition="0">
        <references count="4">
          <reference field="3" count="1" selected="0">
            <x v="146"/>
          </reference>
          <reference field="5" count="1" selected="0">
            <x v="50"/>
          </reference>
          <reference field="10" count="1">
            <x v="22"/>
          </reference>
          <reference field="11" count="1" selected="0">
            <x v="1"/>
          </reference>
        </references>
      </pivotArea>
    </format>
    <format dxfId="218">
      <pivotArea dataOnly="0" labelOnly="1" outline="0" fieldPosition="0">
        <references count="4">
          <reference field="3" count="1" selected="0">
            <x v="148"/>
          </reference>
          <reference field="5" count="1" selected="0">
            <x v="55"/>
          </reference>
          <reference field="10" count="1">
            <x v="21"/>
          </reference>
          <reference field="11" count="1" selected="0">
            <x v="1"/>
          </reference>
        </references>
      </pivotArea>
    </format>
    <format dxfId="217">
      <pivotArea dataOnly="0" labelOnly="1" outline="0" fieldPosition="0">
        <references count="4">
          <reference field="3" count="1" selected="0">
            <x v="151"/>
          </reference>
          <reference field="5" count="1" selected="0">
            <x v="36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216">
      <pivotArea dataOnly="0" labelOnly="1" outline="0" fieldPosition="0">
        <references count="4">
          <reference field="3" count="1" selected="0">
            <x v="156"/>
          </reference>
          <reference field="5" count="1" selected="0">
            <x v="48"/>
          </reference>
          <reference field="10" count="1">
            <x v="23"/>
          </reference>
          <reference field="11" count="1" selected="0">
            <x v="1"/>
          </reference>
        </references>
      </pivotArea>
    </format>
    <format dxfId="215">
      <pivotArea dataOnly="0" labelOnly="1" outline="0" fieldPosition="0">
        <references count="4">
          <reference field="3" count="1" selected="0">
            <x v="159"/>
          </reference>
          <reference field="5" count="1" selected="0">
            <x v="31"/>
          </reference>
          <reference field="10" count="1">
            <x v="28"/>
          </reference>
          <reference field="11" count="1" selected="0">
            <x v="1"/>
          </reference>
        </references>
      </pivotArea>
    </format>
    <format dxfId="214">
      <pivotArea dataOnly="0" labelOnly="1" outline="0" fieldPosition="0">
        <references count="4">
          <reference field="3" count="1" selected="0">
            <x v="166"/>
          </reference>
          <reference field="5" count="1" selected="0">
            <x v="20"/>
          </reference>
          <reference field="10" count="1">
            <x v="32"/>
          </reference>
          <reference field="11" count="1" selected="0">
            <x v="1"/>
          </reference>
        </references>
      </pivotArea>
    </format>
    <format dxfId="213">
      <pivotArea dataOnly="0" labelOnly="1" outline="0" fieldPosition="0">
        <references count="4">
          <reference field="3" count="1" selected="0">
            <x v="168"/>
          </reference>
          <reference field="5" count="1" selected="0">
            <x v="45"/>
          </reference>
          <reference field="10" count="1">
            <x v="24"/>
          </reference>
          <reference field="11" count="1" selected="0">
            <x v="1"/>
          </reference>
        </references>
      </pivotArea>
    </format>
    <format dxfId="212">
      <pivotArea dataOnly="0" labelOnly="1" outline="0" fieldPosition="0">
        <references count="4">
          <reference field="3" count="1" selected="0">
            <x v="170"/>
          </reference>
          <reference field="5" count="1" selected="0">
            <x v="23"/>
          </reference>
          <reference field="10" count="1">
            <x v="31"/>
          </reference>
          <reference field="11" count="1" selected="0">
            <x v="1"/>
          </reference>
        </references>
      </pivotArea>
    </format>
    <format dxfId="211">
      <pivotArea dataOnly="0" labelOnly="1" outline="0" fieldPosition="0">
        <references count="4">
          <reference field="3" count="1" selected="0">
            <x v="172"/>
          </reference>
          <reference field="5" count="1" selected="0">
            <x v="48"/>
          </reference>
          <reference field="10" count="1">
            <x v="23"/>
          </reference>
          <reference field="11" count="1" selected="0">
            <x v="1"/>
          </reference>
        </references>
      </pivotArea>
    </format>
    <format dxfId="210">
      <pivotArea dataOnly="0" labelOnly="1" outline="0" fieldPosition="0">
        <references count="4">
          <reference field="3" count="1" selected="0">
            <x v="173"/>
          </reference>
          <reference field="5" count="1" selected="0">
            <x v="30"/>
          </reference>
          <reference field="10" count="1">
            <x v="29"/>
          </reference>
          <reference field="11" count="1" selected="0">
            <x v="1"/>
          </reference>
        </references>
      </pivotArea>
    </format>
    <format dxfId="209">
      <pivotArea dataOnly="0" labelOnly="1" outline="0" fieldPosition="0">
        <references count="4">
          <reference field="3" count="1" selected="0">
            <x v="177"/>
          </reference>
          <reference field="5" count="1" selected="0">
            <x v="43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208">
      <pivotArea dataOnly="0" labelOnly="1" outline="0" fieldPosition="0">
        <references count="4">
          <reference field="3" count="1" selected="0">
            <x v="179"/>
          </reference>
          <reference field="5" count="1" selected="0">
            <x v="38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207">
      <pivotArea dataOnly="0" labelOnly="1" outline="0" fieldPosition="0">
        <references count="4">
          <reference field="3" count="1" selected="0">
            <x v="181"/>
          </reference>
          <reference field="5" count="1" selected="0">
            <x v="12"/>
          </reference>
          <reference field="10" count="1">
            <x v="35"/>
          </reference>
          <reference field="11" count="1" selected="0">
            <x v="1"/>
          </reference>
        </references>
      </pivotArea>
    </format>
    <format dxfId="206">
      <pivotArea dataOnly="0" labelOnly="1" outline="0" fieldPosition="0">
        <references count="4">
          <reference field="3" count="1" selected="0">
            <x v="185"/>
          </reference>
          <reference field="5" count="1" selected="0">
            <x v="36"/>
          </reference>
          <reference field="10" count="1">
            <x v="26"/>
          </reference>
          <reference field="11" count="1" selected="0">
            <x v="1"/>
          </reference>
        </references>
      </pivotArea>
    </format>
    <format dxfId="205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204">
      <pivotArea dataOnly="0" labelOnly="1" outline="0" fieldPosition="0">
        <references count="4">
          <reference field="3" count="1" selected="0">
            <x v="14"/>
          </reference>
          <reference field="5" count="1" selected="0">
            <x v="9"/>
          </reference>
          <reference field="10" count="1">
            <x v="38"/>
          </reference>
          <reference field="11" count="1" selected="0">
            <x v="2"/>
          </reference>
        </references>
      </pivotArea>
    </format>
    <format dxfId="203">
      <pivotArea dataOnly="0" labelOnly="1" outline="0" fieldPosition="0">
        <references count="4">
          <reference field="3" count="1" selected="0">
            <x v="17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202">
      <pivotArea dataOnly="0" labelOnly="1" outline="0" fieldPosition="0">
        <references count="4">
          <reference field="3" count="1" selected="0">
            <x v="19"/>
          </reference>
          <reference field="5" count="1" selected="0">
            <x v="1"/>
          </reference>
          <reference field="10" count="1">
            <x v="42"/>
          </reference>
          <reference field="11" count="1" selected="0">
            <x v="2"/>
          </reference>
        </references>
      </pivotArea>
    </format>
    <format dxfId="201">
      <pivotArea dataOnly="0" labelOnly="1" outline="0" fieldPosition="0">
        <references count="4">
          <reference field="3" count="1" selected="0">
            <x v="21"/>
          </reference>
          <reference field="5" count="1" selected="0">
            <x v="8"/>
          </reference>
          <reference field="10" count="1">
            <x v="38"/>
          </reference>
          <reference field="11" count="1" selected="0">
            <x v="2"/>
          </reference>
        </references>
      </pivotArea>
    </format>
    <format dxfId="200">
      <pivotArea dataOnly="0" labelOnly="1" outline="0" fieldPosition="0">
        <references count="4">
          <reference field="3" count="1" selected="0">
            <x v="40"/>
          </reference>
          <reference field="5" count="1" selected="0">
            <x v="6"/>
          </reference>
          <reference field="10" count="1">
            <x v="39"/>
          </reference>
          <reference field="11" count="1" selected="0">
            <x v="2"/>
          </reference>
        </references>
      </pivotArea>
    </format>
    <format dxfId="199">
      <pivotArea dataOnly="0" labelOnly="1" outline="0" fieldPosition="0">
        <references count="4">
          <reference field="3" count="1" selected="0">
            <x v="43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198">
      <pivotArea dataOnly="0" labelOnly="1" outline="0" fieldPosition="0">
        <references count="4">
          <reference field="3" count="1" selected="0">
            <x v="51"/>
          </reference>
          <reference field="5" count="1" selected="0">
            <x v="2"/>
          </reference>
          <reference field="10" count="1">
            <x v="42"/>
          </reference>
          <reference field="11" count="1" selected="0">
            <x v="2"/>
          </reference>
        </references>
      </pivotArea>
    </format>
    <format dxfId="197">
      <pivotArea dataOnly="0" labelOnly="1" outline="0" fieldPosition="0">
        <references count="4">
          <reference field="3" count="1" selected="0">
            <x v="56"/>
          </reference>
          <reference field="5" count="1" selected="0">
            <x v="10"/>
          </reference>
          <reference field="10" count="1">
            <x v="37"/>
          </reference>
          <reference field="11" count="1" selected="0">
            <x v="2"/>
          </reference>
        </references>
      </pivotArea>
    </format>
    <format dxfId="196">
      <pivotArea dataOnly="0" labelOnly="1" outline="0" fieldPosition="0">
        <references count="4">
          <reference field="3" count="1" selected="0">
            <x v="57"/>
          </reference>
          <reference field="5" count="1" selected="0">
            <x v="7"/>
          </reference>
          <reference field="10" count="1">
            <x v="38"/>
          </reference>
          <reference field="11" count="1" selected="0">
            <x v="2"/>
          </reference>
        </references>
      </pivotArea>
    </format>
    <format dxfId="195">
      <pivotArea dataOnly="0" labelOnly="1" outline="0" fieldPosition="0">
        <references count="4">
          <reference field="3" count="1" selected="0">
            <x v="70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194">
      <pivotArea dataOnly="0" labelOnly="1" outline="0" fieldPosition="0">
        <references count="4">
          <reference field="3" count="1" selected="0">
            <x v="72"/>
          </reference>
          <reference field="5" count="1" selected="0">
            <x v="4"/>
          </reference>
          <reference field="10" count="1">
            <x v="40"/>
          </reference>
          <reference field="11" count="1" selected="0">
            <x v="2"/>
          </reference>
        </references>
      </pivotArea>
    </format>
    <format dxfId="193">
      <pivotArea dataOnly="0" labelOnly="1" outline="0" fieldPosition="0">
        <references count="4">
          <reference field="3" count="1" selected="0">
            <x v="74"/>
          </reference>
          <reference field="5" count="1" selected="0">
            <x v="3"/>
          </reference>
          <reference field="10" count="1">
            <x v="41"/>
          </reference>
          <reference field="11" count="1" selected="0">
            <x v="2"/>
          </reference>
        </references>
      </pivotArea>
    </format>
    <format dxfId="192">
      <pivotArea dataOnly="0" labelOnly="1" outline="0" fieldPosition="0">
        <references count="4">
          <reference field="3" count="1" selected="0">
            <x v="79"/>
          </reference>
          <reference field="5" count="1" selected="0">
            <x v="4"/>
          </reference>
          <reference field="10" count="1">
            <x v="40"/>
          </reference>
          <reference field="11" count="1" selected="0">
            <x v="2"/>
          </reference>
        </references>
      </pivotArea>
    </format>
    <format dxfId="191">
      <pivotArea dataOnly="0" labelOnly="1" outline="0" fieldPosition="0">
        <references count="4">
          <reference field="3" count="1" selected="0">
            <x v="104"/>
          </reference>
          <reference field="5" count="1" selected="0">
            <x v="9"/>
          </reference>
          <reference field="10" count="1">
            <x v="38"/>
          </reference>
          <reference field="11" count="1" selected="0">
            <x v="2"/>
          </reference>
        </references>
      </pivotArea>
    </format>
    <format dxfId="190">
      <pivotArea dataOnly="0" labelOnly="1" outline="0" fieldPosition="0">
        <references count="4">
          <reference field="3" count="1" selected="0">
            <x v="105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189">
      <pivotArea dataOnly="0" labelOnly="1" outline="0" fieldPosition="0">
        <references count="4">
          <reference field="3" count="1" selected="0">
            <x v="108"/>
          </reference>
          <reference field="5" count="1" selected="0">
            <x v="4"/>
          </reference>
          <reference field="10" count="1">
            <x v="40"/>
          </reference>
          <reference field="11" count="1" selected="0">
            <x v="2"/>
          </reference>
        </references>
      </pivotArea>
    </format>
    <format dxfId="188">
      <pivotArea dataOnly="0" labelOnly="1" outline="0" fieldPosition="0">
        <references count="4">
          <reference field="3" count="1" selected="0">
            <x v="134"/>
          </reference>
          <reference field="5" count="1" selected="0">
            <x v="0"/>
          </reference>
          <reference field="10" count="1">
            <x v="43"/>
          </reference>
          <reference field="11" count="1" selected="0">
            <x v="2"/>
          </reference>
        </references>
      </pivotArea>
    </format>
    <format dxfId="187">
      <pivotArea dataOnly="0" labelOnly="1" outline="0" fieldPosition="0">
        <references count="4">
          <reference field="3" count="1" selected="0">
            <x v="149"/>
          </reference>
          <reference field="5" count="1" selected="0">
            <x v="4"/>
          </reference>
          <reference field="10" count="1">
            <x v="40"/>
          </reference>
          <reference field="11" count="1" selected="0">
            <x v="2"/>
          </reference>
        </references>
      </pivotArea>
    </format>
    <format dxfId="186">
      <pivotArea dataOnly="0" labelOnly="1" outline="0" fieldPosition="0">
        <references count="5">
          <reference field="3" count="1" selected="0">
            <x v="2"/>
          </reference>
          <reference field="5" count="1" selected="0">
            <x v="58"/>
          </reference>
          <reference field="10" count="1" selected="0">
            <x v="19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85">
      <pivotArea dataOnly="0" labelOnly="1" outline="0" fieldPosition="0">
        <references count="5">
          <reference field="3" count="1" selected="0">
            <x v="4"/>
          </reference>
          <reference field="5" count="1" selected="0">
            <x v="59"/>
          </reference>
          <reference field="10" count="1" selected="0">
            <x v="1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84">
      <pivotArea dataOnly="0" labelOnly="1" outline="0" fieldPosition="0">
        <references count="5">
          <reference field="3" count="1" selected="0">
            <x v="5"/>
          </reference>
          <reference field="5" count="1" selected="0">
            <x v="70"/>
          </reference>
          <reference field="10" count="1" selected="0">
            <x v="14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83">
      <pivotArea dataOnly="0" labelOnly="1" outline="0" fieldPosition="0">
        <references count="5">
          <reference field="3" count="1" selected="0">
            <x v="10"/>
          </reference>
          <reference field="5" count="1" selected="0">
            <x v="71"/>
          </reference>
          <reference field="10" count="1" selected="0">
            <x v="14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82">
      <pivotArea dataOnly="0" labelOnly="1" outline="0" fieldPosition="0">
        <references count="5">
          <reference field="3" count="1" selected="0">
            <x v="13"/>
          </reference>
          <reference field="5" count="1" selected="0">
            <x v="83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81">
      <pivotArea dataOnly="0" labelOnly="1" outline="0" fieldPosition="0">
        <references count="5">
          <reference field="3" count="1" selected="0">
            <x v="16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80">
      <pivotArea dataOnly="0" labelOnly="1" outline="0" fieldPosition="0">
        <references count="5">
          <reference field="3" count="1" selected="0">
            <x v="20"/>
          </reference>
          <reference field="5" count="1" selected="0">
            <x v="72"/>
          </reference>
          <reference field="10" count="1" selected="0">
            <x v="13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79">
      <pivotArea dataOnly="0" labelOnly="1" outline="0" fieldPosition="0">
        <references count="5">
          <reference field="3" count="1" selected="0">
            <x v="22"/>
          </reference>
          <reference field="5" count="1" selected="0">
            <x v="67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78">
      <pivotArea dataOnly="0" labelOnly="1" outline="0" fieldPosition="0">
        <references count="5">
          <reference field="3" count="1" selected="0">
            <x v="23"/>
          </reference>
          <reference field="5" count="1" selected="0">
            <x v="93"/>
          </reference>
          <reference field="10" count="1" selected="0">
            <x v="3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77">
      <pivotArea dataOnly="0" labelOnly="1" outline="0" fieldPosition="0">
        <references count="5">
          <reference field="3" count="1" selected="0">
            <x v="24"/>
          </reference>
          <reference field="5" count="1" selected="0">
            <x v="82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76">
      <pivotArea dataOnly="0" labelOnly="1" outline="0" fieldPosition="0">
        <references count="5">
          <reference field="3" count="1" selected="0">
            <x v="25"/>
          </reference>
          <reference field="5" count="1" selected="0">
            <x v="67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75">
      <pivotArea dataOnly="0" labelOnly="1" outline="0" fieldPosition="0">
        <references count="5">
          <reference field="3" count="1" selected="0">
            <x v="27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74">
      <pivotArea dataOnly="0" labelOnly="1" outline="0" fieldPosition="0">
        <references count="5">
          <reference field="3" count="1" selected="0">
            <x v="28"/>
          </reference>
          <reference field="5" count="1" selected="0">
            <x v="56"/>
          </reference>
          <reference field="10" count="1" selected="0">
            <x v="2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73">
      <pivotArea dataOnly="0" labelOnly="1" outline="0" fieldPosition="0">
        <references count="5">
          <reference field="3" count="1" selected="0">
            <x v="30"/>
          </reference>
          <reference field="5" count="1" selected="0">
            <x v="105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72">
      <pivotArea dataOnly="0" labelOnly="1" outline="0" fieldPosition="0">
        <references count="5">
          <reference field="3" count="1" selected="0">
            <x v="31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71">
      <pivotArea dataOnly="0" labelOnly="1" outline="0" fieldPosition="0">
        <references count="5">
          <reference field="3" count="1" selected="0">
            <x v="34"/>
          </reference>
          <reference field="5" count="1" selected="0">
            <x v="85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70">
      <pivotArea dataOnly="0" labelOnly="1" outline="0" fieldPosition="0">
        <references count="5">
          <reference field="3" count="1" selected="0">
            <x v="35"/>
          </reference>
          <reference field="5" count="1" selected="0">
            <x v="64"/>
          </reference>
          <reference field="10" count="1" selected="0">
            <x v="16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69">
      <pivotArea dataOnly="0" labelOnly="1" outline="0" fieldPosition="0">
        <references count="5">
          <reference field="3" count="1" selected="0">
            <x v="36"/>
          </reference>
          <reference field="5" count="1" selected="0">
            <x v="69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68">
      <pivotArea dataOnly="0" labelOnly="1" outline="0" fieldPosition="0">
        <references count="5">
          <reference field="3" count="1" selected="0">
            <x v="37"/>
          </reference>
          <reference field="5" count="1" selected="0">
            <x v="90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67">
      <pivotArea dataOnly="0" labelOnly="1" outline="0" fieldPosition="0">
        <references count="5">
          <reference field="3" count="1" selected="0">
            <x v="38"/>
          </reference>
          <reference field="5" count="1" selected="0">
            <x v="92"/>
          </reference>
          <reference field="10" count="1" selected="0">
            <x v="4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66">
      <pivotArea dataOnly="0" labelOnly="1" outline="0" fieldPosition="0">
        <references count="5">
          <reference field="3" count="1" selected="0">
            <x v="41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65">
      <pivotArea dataOnly="0" labelOnly="1" outline="0" fieldPosition="0">
        <references count="5">
          <reference field="3" count="1" selected="0">
            <x v="42"/>
          </reference>
          <reference field="5" count="1" selected="0">
            <x v="103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64">
      <pivotArea dataOnly="0" labelOnly="1" outline="0" fieldPosition="0">
        <references count="5">
          <reference field="3" count="1" selected="0">
            <x v="45"/>
          </reference>
          <reference field="5" count="1" selected="0">
            <x v="98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63">
      <pivotArea dataOnly="0" labelOnly="1" outline="0" fieldPosition="0">
        <references count="5">
          <reference field="3" count="1" selected="0">
            <x v="48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62">
      <pivotArea dataOnly="0" labelOnly="1" outline="0" fieldPosition="0">
        <references count="5">
          <reference field="3" count="1" selected="0">
            <x v="49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61">
      <pivotArea dataOnly="0" labelOnly="1" outline="0" fieldPosition="0">
        <references count="5">
          <reference field="3" count="1" selected="0">
            <x v="54"/>
          </reference>
          <reference field="5" count="1" selected="0">
            <x v="74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60">
      <pivotArea dataOnly="0" labelOnly="1" outline="0" fieldPosition="0">
        <references count="5">
          <reference field="3" count="1" selected="0">
            <x v="55"/>
          </reference>
          <reference field="5" count="1" selected="0">
            <x v="96"/>
          </reference>
          <reference field="10" count="1" selected="0">
            <x v="3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59">
      <pivotArea dataOnly="0" labelOnly="1" outline="0" fieldPosition="0">
        <references count="5">
          <reference field="3" count="1" selected="0">
            <x v="58"/>
          </reference>
          <reference field="5" count="1" selected="0">
            <x v="104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58">
      <pivotArea dataOnly="0" labelOnly="1" outline="0" fieldPosition="0">
        <references count="5">
          <reference field="3" count="1" selected="0">
            <x v="59"/>
          </reference>
          <reference field="5" count="1" selected="0">
            <x v="67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57">
      <pivotArea dataOnly="0" labelOnly="1" outline="0" fieldPosition="0">
        <references count="5">
          <reference field="3" count="1" selected="0">
            <x v="64"/>
          </reference>
          <reference field="5" count="1" selected="0">
            <x v="84"/>
          </reference>
          <reference field="10" count="1" selected="0">
            <x v="7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56">
      <pivotArea dataOnly="0" labelOnly="1" outline="0" fieldPosition="0">
        <references count="5">
          <reference field="3" count="1" selected="0">
            <x v="65"/>
          </reference>
          <reference field="5" count="1" selected="0">
            <x v="94"/>
          </reference>
          <reference field="10" count="1" selected="0">
            <x v="3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55">
      <pivotArea dataOnly="0" labelOnly="1" outline="0" fieldPosition="0">
        <references count="5">
          <reference field="3" count="1" selected="0">
            <x v="66"/>
          </reference>
          <reference field="5" count="1" selected="0">
            <x v="84"/>
          </reference>
          <reference field="10" count="1" selected="0">
            <x v="7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54">
      <pivotArea dataOnly="0" labelOnly="1" outline="0" fieldPosition="0">
        <references count="5">
          <reference field="3" count="1" selected="0">
            <x v="71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53">
      <pivotArea dataOnly="0" labelOnly="1" outline="0" fieldPosition="0">
        <references count="5">
          <reference field="3" count="1" selected="0">
            <x v="73"/>
          </reference>
          <reference field="5" count="1" selected="0">
            <x v="61"/>
          </reference>
          <reference field="10" count="1" selected="0">
            <x v="17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52">
      <pivotArea dataOnly="0" labelOnly="1" outline="0" fieldPosition="0">
        <references count="5">
          <reference field="3" count="1" selected="0">
            <x v="78"/>
          </reference>
          <reference field="5" count="1" selected="0">
            <x v="57"/>
          </reference>
          <reference field="10" count="1" selected="0">
            <x v="2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51">
      <pivotArea dataOnly="0" labelOnly="1" outline="0" fieldPosition="0">
        <references count="5">
          <reference field="3" count="1" selected="0">
            <x v="80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50">
      <pivotArea dataOnly="0" labelOnly="1" outline="0" fieldPosition="0">
        <references count="5">
          <reference field="3" count="1" selected="0">
            <x v="81"/>
          </reference>
          <reference field="5" count="1" selected="0">
            <x v="89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49">
      <pivotArea dataOnly="0" labelOnly="1" outline="0" fieldPosition="0">
        <references count="5">
          <reference field="3" count="1" selected="0">
            <x v="82"/>
          </reference>
          <reference field="5" count="1" selected="0">
            <x v="103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48">
      <pivotArea dataOnly="0" labelOnly="1" outline="0" fieldPosition="0">
        <references count="5">
          <reference field="3" count="1" selected="0">
            <x v="84"/>
          </reference>
          <reference field="5" count="1" selected="0">
            <x v="91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47">
      <pivotArea dataOnly="0" labelOnly="1" outline="0" fieldPosition="0">
        <references count="5">
          <reference field="3" count="1" selected="0">
            <x v="85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46">
      <pivotArea dataOnly="0" labelOnly="1" outline="0" fieldPosition="0">
        <references count="5">
          <reference field="3" count="1" selected="0">
            <x v="86"/>
          </reference>
          <reference field="5" count="1" selected="0">
            <x v="67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45">
      <pivotArea dataOnly="0" labelOnly="1" outline="0" fieldPosition="0">
        <references count="5">
          <reference field="3" count="1" selected="0">
            <x v="87"/>
          </reference>
          <reference field="5" count="1" selected="0">
            <x v="84"/>
          </reference>
          <reference field="10" count="1" selected="0">
            <x v="7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44">
      <pivotArea dataOnly="0" labelOnly="1" outline="0" fieldPosition="0">
        <references count="5">
          <reference field="3" count="1" selected="0">
            <x v="88"/>
          </reference>
          <reference field="5" count="1" selected="0">
            <x v="87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43">
      <pivotArea dataOnly="0" labelOnly="1" outline="0" fieldPosition="0">
        <references count="5">
          <reference field="3" count="1" selected="0">
            <x v="89"/>
          </reference>
          <reference field="5" count="1" selected="0">
            <x v="86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42">
      <pivotArea dataOnly="0" labelOnly="1" outline="0" fieldPosition="0">
        <references count="5">
          <reference field="3" count="1" selected="0">
            <x v="90"/>
          </reference>
          <reference field="5" count="1" selected="0">
            <x v="78"/>
          </reference>
          <reference field="10" count="1" selected="0">
            <x v="1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41">
      <pivotArea dataOnly="0" labelOnly="1" outline="0" fieldPosition="0">
        <references count="5">
          <reference field="3" count="1" selected="0">
            <x v="91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40">
      <pivotArea dataOnly="0" labelOnly="1" outline="0" fieldPosition="0">
        <references count="5">
          <reference field="3" count="1" selected="0">
            <x v="92"/>
          </reference>
          <reference field="5" count="1" selected="0">
            <x v="60"/>
          </reference>
          <reference field="10" count="1" selected="0">
            <x v="1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39">
      <pivotArea dataOnly="0" labelOnly="1" outline="0" fieldPosition="0">
        <references count="5">
          <reference field="3" count="1" selected="0">
            <x v="93"/>
          </reference>
          <reference field="5" count="1" selected="0">
            <x v="102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38">
      <pivotArea dataOnly="0" labelOnly="1" outline="0" fieldPosition="0">
        <references count="5">
          <reference field="3" count="1" selected="0">
            <x v="94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37">
      <pivotArea dataOnly="0" labelOnly="1" outline="0" fieldPosition="0">
        <references count="5">
          <reference field="3" count="1" selected="0">
            <x v="96"/>
          </reference>
          <reference field="5" count="1" selected="0">
            <x v="106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36">
      <pivotArea dataOnly="0" labelOnly="1" outline="0" fieldPosition="0">
        <references count="5">
          <reference field="3" count="1" selected="0">
            <x v="100"/>
          </reference>
          <reference field="5" count="1" selected="0">
            <x v="82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35">
      <pivotArea dataOnly="0" labelOnly="1" outline="0" fieldPosition="0">
        <references count="5">
          <reference field="3" count="1" selected="0">
            <x v="101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34">
      <pivotArea dataOnly="0" labelOnly="1" outline="0" fieldPosition="0">
        <references count="5">
          <reference field="3" count="1" selected="0">
            <x v="102"/>
          </reference>
          <reference field="5" count="1" selected="0">
            <x v="76"/>
          </reference>
          <reference field="10" count="1" selected="0">
            <x v="11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33">
      <pivotArea dataOnly="0" labelOnly="1" outline="0" fieldPosition="0">
        <references count="5">
          <reference field="3" count="1" selected="0">
            <x v="106"/>
          </reference>
          <reference field="5" count="1" selected="0">
            <x v="97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32">
      <pivotArea dataOnly="0" labelOnly="1" outline="0" fieldPosition="0">
        <references count="5">
          <reference field="3" count="1" selected="0">
            <x v="107"/>
          </reference>
          <reference field="5" count="1" selected="0">
            <x v="97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31">
      <pivotArea dataOnly="0" labelOnly="1" outline="0" fieldPosition="0">
        <references count="5">
          <reference field="3" count="1" selected="0">
            <x v="112"/>
          </reference>
          <reference field="5" count="1" selected="0">
            <x v="105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30">
      <pivotArea dataOnly="0" labelOnly="1" outline="0" fieldPosition="0">
        <references count="5">
          <reference field="3" count="1" selected="0">
            <x v="114"/>
          </reference>
          <reference field="5" count="1" selected="0">
            <x v="98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29">
      <pivotArea dataOnly="0" labelOnly="1" outline="0" fieldPosition="0">
        <references count="5">
          <reference field="3" count="1" selected="0">
            <x v="116"/>
          </reference>
          <reference field="5" count="1" selected="0">
            <x v="103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28">
      <pivotArea dataOnly="0" labelOnly="1" outline="0" fieldPosition="0">
        <references count="5">
          <reference field="3" count="1" selected="0">
            <x v="118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27">
      <pivotArea dataOnly="0" labelOnly="1" outline="0" fieldPosition="0">
        <references count="5">
          <reference field="3" count="1" selected="0">
            <x v="120"/>
          </reference>
          <reference field="5" count="1" selected="0">
            <x v="65"/>
          </reference>
          <reference field="10" count="1" selected="0">
            <x v="16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26">
      <pivotArea dataOnly="0" labelOnly="1" outline="0" fieldPosition="0">
        <references count="5">
          <reference field="3" count="1" selected="0">
            <x v="121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25">
      <pivotArea dataOnly="0" labelOnly="1" outline="0" fieldPosition="0">
        <references count="5">
          <reference field="3" count="1" selected="0">
            <x v="122"/>
          </reference>
          <reference field="5" count="1" selected="0">
            <x v="98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24">
      <pivotArea dataOnly="0" labelOnly="1" outline="0" fieldPosition="0">
        <references count="5">
          <reference field="3" count="1" selected="0">
            <x v="123"/>
          </reference>
          <reference field="5" count="1" selected="0">
            <x v="69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23">
      <pivotArea dataOnly="0" labelOnly="1" outline="0" fieldPosition="0">
        <references count="5">
          <reference field="3" count="1" selected="0">
            <x v="124"/>
          </reference>
          <reference field="5" count="1" selected="0">
            <x v="102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22">
      <pivotArea dataOnly="0" labelOnly="1" outline="0" fieldPosition="0">
        <references count="5">
          <reference field="3" count="1" selected="0">
            <x v="126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21">
      <pivotArea dataOnly="0" labelOnly="1" outline="0" fieldPosition="0">
        <references count="5">
          <reference field="3" count="1" selected="0">
            <x v="128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20">
      <pivotArea dataOnly="0" labelOnly="1" outline="0" fieldPosition="0">
        <references count="5">
          <reference field="3" count="1" selected="0">
            <x v="132"/>
          </reference>
          <reference field="5" count="1" selected="0">
            <x v="71"/>
          </reference>
          <reference field="10" count="1" selected="0">
            <x v="14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19">
      <pivotArea dataOnly="0" labelOnly="1" outline="0" fieldPosition="0">
        <references count="5">
          <reference field="3" count="1" selected="0">
            <x v="136"/>
          </reference>
          <reference field="5" count="1" selected="0">
            <x v="99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18">
      <pivotArea dataOnly="0" labelOnly="1" outline="0" fieldPosition="0">
        <references count="5">
          <reference field="3" count="1" selected="0">
            <x v="138"/>
          </reference>
          <reference field="5" count="1" selected="0">
            <x v="66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17">
      <pivotArea dataOnly="0" labelOnly="1" outline="0" fieldPosition="0">
        <references count="5">
          <reference field="3" count="1" selected="0">
            <x v="140"/>
          </reference>
          <reference field="5" count="1" selected="0">
            <x v="97"/>
          </reference>
          <reference field="10" count="1" selected="0">
            <x v="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16">
      <pivotArea dataOnly="0" labelOnly="1" outline="0" fieldPosition="0">
        <references count="5">
          <reference field="3" count="1" selected="0">
            <x v="142"/>
          </reference>
          <reference field="5" count="1" selected="0">
            <x v="82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15">
      <pivotArea dataOnly="0" labelOnly="1" outline="0" fieldPosition="0">
        <references count="5">
          <reference field="3" count="1" selected="0">
            <x v="143"/>
          </reference>
          <reference field="5" count="1" selected="0">
            <x v="88"/>
          </reference>
          <reference field="10" count="1" selected="0">
            <x v="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14">
      <pivotArea dataOnly="0" labelOnly="1" outline="0" fieldPosition="0">
        <references count="5">
          <reference field="3" count="1" selected="0">
            <x v="144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13">
      <pivotArea dataOnly="0" labelOnly="1" outline="0" fieldPosition="0">
        <references count="5">
          <reference field="3" count="1" selected="0">
            <x v="145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12">
      <pivotArea dataOnly="0" labelOnly="1" outline="0" fieldPosition="0">
        <references count="5">
          <reference field="3" count="1" selected="0">
            <x v="150"/>
          </reference>
          <reference field="5" count="1" selected="0">
            <x v="66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11">
      <pivotArea dataOnly="0" labelOnly="1" outline="0" fieldPosition="0">
        <references count="5">
          <reference field="3" count="1" selected="0">
            <x v="152"/>
          </reference>
          <reference field="5" count="1" selected="0">
            <x v="68"/>
          </reference>
          <reference field="10" count="1" selected="0">
            <x v="15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10">
      <pivotArea dataOnly="0" labelOnly="1" outline="0" fieldPosition="0">
        <references count="5">
          <reference field="3" count="1" selected="0">
            <x v="153"/>
          </reference>
          <reference field="5" count="1" selected="0">
            <x v="79"/>
          </reference>
          <reference field="10" count="1" selected="0">
            <x v="9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09">
      <pivotArea dataOnly="0" labelOnly="1" outline="0" fieldPosition="0">
        <references count="5">
          <reference field="3" count="1" selected="0">
            <x v="154"/>
          </reference>
          <reference field="5" count="1" selected="0">
            <x v="95"/>
          </reference>
          <reference field="10" count="1" selected="0">
            <x v="3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08">
      <pivotArea dataOnly="0" labelOnly="1" outline="0" fieldPosition="0">
        <references count="5">
          <reference field="3" count="1" selected="0">
            <x v="155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07">
      <pivotArea dataOnly="0" labelOnly="1" outline="0" fieldPosition="0">
        <references count="5">
          <reference field="3" count="1" selected="0">
            <x v="157"/>
          </reference>
          <reference field="5" count="1" selected="0">
            <x v="80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06">
      <pivotArea dataOnly="0" labelOnly="1" outline="0" fieldPosition="0">
        <references count="5">
          <reference field="3" count="1" selected="0">
            <x v="158"/>
          </reference>
          <reference field="5" count="1" selected="0">
            <x v="77"/>
          </reference>
          <reference field="10" count="1" selected="0">
            <x v="10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05">
      <pivotArea dataOnly="0" labelOnly="1" outline="0" fieldPosition="0">
        <references count="5">
          <reference field="3" count="1" selected="0">
            <x v="160"/>
          </reference>
          <reference field="5" count="1" selected="0">
            <x v="56"/>
          </reference>
          <reference field="10" count="1" selected="0">
            <x v="2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104">
      <pivotArea dataOnly="0" labelOnly="1" outline="0" fieldPosition="0">
        <references count="5">
          <reference field="3" count="1" selected="0">
            <x v="161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03">
      <pivotArea dataOnly="0" labelOnly="1" outline="0" fieldPosition="0">
        <references count="5">
          <reference field="3" count="1" selected="0">
            <x v="163"/>
          </reference>
          <reference field="5" count="1" selected="0">
            <x v="63"/>
          </reference>
          <reference field="10" count="1" selected="0">
            <x v="17"/>
          </reference>
          <reference field="11" count="1" selected="0">
            <x v="0"/>
          </reference>
          <reference field="12" count="1">
            <x v="2"/>
          </reference>
        </references>
      </pivotArea>
    </format>
    <format dxfId="102">
      <pivotArea dataOnly="0" labelOnly="1" outline="0" fieldPosition="0">
        <references count="5">
          <reference field="3" count="1" selected="0">
            <x v="164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101">
      <pivotArea dataOnly="0" labelOnly="1" outline="0" fieldPosition="0">
        <references count="5">
          <reference field="3" count="1" selected="0">
            <x v="167"/>
          </reference>
          <reference field="5" count="1" selected="0">
            <x v="75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1"/>
          </reference>
        </references>
      </pivotArea>
    </format>
    <format dxfId="100">
      <pivotArea dataOnly="0" labelOnly="1" outline="0" fieldPosition="0">
        <references count="5">
          <reference field="3" count="1" selected="0">
            <x v="169"/>
          </reference>
          <reference field="5" count="1" selected="0">
            <x v="10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99">
      <pivotArea dataOnly="0" labelOnly="1" outline="0" fieldPosition="0">
        <references count="5">
          <reference field="3" count="1" selected="0">
            <x v="174"/>
          </reference>
          <reference field="5" count="1" selected="0">
            <x v="56"/>
          </reference>
          <reference field="10" count="1" selected="0">
            <x v="20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98">
      <pivotArea dataOnly="0" labelOnly="1" outline="0" fieldPosition="0">
        <references count="5">
          <reference field="3" count="1" selected="0">
            <x v="175"/>
          </reference>
          <reference field="5" count="1" selected="0">
            <x v="62"/>
          </reference>
          <reference field="10" count="1" selected="0">
            <x v="17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97">
      <pivotArea dataOnly="0" labelOnly="1" outline="0" fieldPosition="0">
        <references count="5">
          <reference field="3" count="1" selected="0">
            <x v="176"/>
          </reference>
          <reference field="5" count="1" selected="0">
            <x v="73"/>
          </reference>
          <reference field="10" count="1" selected="0">
            <x v="12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96">
      <pivotArea dataOnly="0" labelOnly="1" outline="0" fieldPosition="0">
        <references count="5">
          <reference field="3" count="1" selected="0">
            <x v="178"/>
          </reference>
          <reference field="5" count="1" selected="0">
            <x v="63"/>
          </reference>
          <reference field="10" count="1" selected="0">
            <x v="17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95">
      <pivotArea dataOnly="0" labelOnly="1" outline="0" fieldPosition="0">
        <references count="5">
          <reference field="3" count="1" selected="0">
            <x v="182"/>
          </reference>
          <reference field="5" count="1" selected="0">
            <x v="10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94">
      <pivotArea dataOnly="0" labelOnly="1" outline="0" fieldPosition="0">
        <references count="5">
          <reference field="3" count="1" selected="0">
            <x v="183"/>
          </reference>
          <reference field="5" count="1" selected="0">
            <x v="81"/>
          </reference>
          <reference field="10" count="1" selected="0">
            <x v="8"/>
          </reference>
          <reference field="11" count="1" selected="0">
            <x v="0"/>
          </reference>
          <reference field="12" count="1">
            <x v="3"/>
          </reference>
        </references>
      </pivotArea>
    </format>
    <format dxfId="93">
      <pivotArea dataOnly="0" labelOnly="1" outline="0" fieldPosition="0">
        <references count="5">
          <reference field="3" count="1" selected="0">
            <x v="184"/>
          </reference>
          <reference field="5" count="1" selected="0">
            <x v="86"/>
          </reference>
          <reference field="10" count="1" selected="0">
            <x v="6"/>
          </reference>
          <reference field="11" count="1" selected="0">
            <x v="0"/>
          </reference>
          <reference field="12" count="1">
            <x v="4"/>
          </reference>
        </references>
      </pivotArea>
    </format>
    <format dxfId="92">
      <pivotArea dataOnly="0" labelOnly="1" outline="0" fieldPosition="0">
        <references count="5">
          <reference field="3" count="1" selected="0">
            <x v="0"/>
          </reference>
          <reference field="5" count="1" selected="0">
            <x v="19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91">
      <pivotArea dataOnly="0" labelOnly="1" outline="0" fieldPosition="0">
        <references count="5">
          <reference field="3" count="1" selected="0">
            <x v="3"/>
          </reference>
          <reference field="5" count="1" selected="0">
            <x v="48"/>
          </reference>
          <reference field="10" count="1" selected="0">
            <x v="23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90">
      <pivotArea dataOnly="0" labelOnly="1" outline="0" fieldPosition="0">
        <references count="5">
          <reference field="3" count="1" selected="0">
            <x v="6"/>
          </reference>
          <reference field="5" count="1" selected="0">
            <x v="31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89">
      <pivotArea dataOnly="0" labelOnly="1" outline="0" fieldPosition="0">
        <references count="5">
          <reference field="3" count="1" selected="0">
            <x v="7"/>
          </reference>
          <reference field="5" count="1" selected="0">
            <x v="25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88">
      <pivotArea dataOnly="0" labelOnly="1" outline="0" fieldPosition="0">
        <references count="5">
          <reference field="3" count="1" selected="0">
            <x v="8"/>
          </reference>
          <reference field="5" count="1" selected="0">
            <x v="44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87">
      <pivotArea dataOnly="0" labelOnly="1" outline="0" fieldPosition="0">
        <references count="5">
          <reference field="3" count="1" selected="0">
            <x v="9"/>
          </reference>
          <reference field="5" count="1" selected="0">
            <x v="55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86">
      <pivotArea dataOnly="0" labelOnly="1" outline="0" fieldPosition="0">
        <references count="5">
          <reference field="3" count="1" selected="0">
            <x v="11"/>
          </reference>
          <reference field="5" count="1" selected="0">
            <x v="16"/>
          </reference>
          <reference field="10" count="1" selected="0">
            <x v="34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85">
      <pivotArea dataOnly="0" labelOnly="1" outline="0" fieldPosition="0">
        <references count="5">
          <reference field="3" count="1" selected="0">
            <x v="12"/>
          </reference>
          <reference field="5" count="1" selected="0">
            <x v="34"/>
          </reference>
          <reference field="10" count="1" selected="0">
            <x v="27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84">
      <pivotArea dataOnly="0" labelOnly="1" outline="0" fieldPosition="0">
        <references count="5">
          <reference field="3" count="1" selected="0">
            <x v="15"/>
          </reference>
          <reference field="5" count="1" selected="0">
            <x v="33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83">
      <pivotArea dataOnly="0" labelOnly="1" outline="0" fieldPosition="0">
        <references count="5">
          <reference field="3" count="1" selected="0">
            <x v="18"/>
          </reference>
          <reference field="5" count="1" selected="0">
            <x v="42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82">
      <pivotArea dataOnly="0" labelOnly="1" outline="0" fieldPosition="0">
        <references count="5">
          <reference field="3" count="1" selected="0">
            <x v="26"/>
          </reference>
          <reference field="5" count="1" selected="0">
            <x v="55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81">
      <pivotArea dataOnly="0" labelOnly="1" outline="0" fieldPosition="0">
        <references count="5">
          <reference field="3" count="1" selected="0">
            <x v="29"/>
          </reference>
          <reference field="5" count="1" selected="0">
            <x v="40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80">
      <pivotArea dataOnly="0" labelOnly="1" outline="0" fieldPosition="0">
        <references count="5">
          <reference field="3" count="1" selected="0">
            <x v="32"/>
          </reference>
          <reference field="5" count="1" selected="0">
            <x v="21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79">
      <pivotArea dataOnly="0" labelOnly="1" outline="0" fieldPosition="0">
        <references count="5">
          <reference field="3" count="1" selected="0">
            <x v="33"/>
          </reference>
          <reference field="5" count="1" selected="0">
            <x v="17"/>
          </reference>
          <reference field="10" count="1" selected="0">
            <x v="33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78">
      <pivotArea dataOnly="0" labelOnly="1" outline="0" fieldPosition="0">
        <references count="5">
          <reference field="3" count="1" selected="0">
            <x v="39"/>
          </reference>
          <reference field="5" count="1" selected="0">
            <x v="27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77">
      <pivotArea dataOnly="0" labelOnly="1" outline="0" fieldPosition="0">
        <references count="5">
          <reference field="3" count="1" selected="0">
            <x v="44"/>
          </reference>
          <reference field="5" count="1" selected="0">
            <x v="46"/>
          </reference>
          <reference field="10" count="1" selected="0">
            <x v="24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76">
      <pivotArea dataOnly="0" labelOnly="1" outline="0" fieldPosition="0">
        <references count="5">
          <reference field="3" count="1" selected="0">
            <x v="46"/>
          </reference>
          <reference field="5" count="1" selected="0">
            <x v="41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75">
      <pivotArea dataOnly="0" labelOnly="1" outline="0" fieldPosition="0">
        <references count="5">
          <reference field="3" count="1" selected="0">
            <x v="47"/>
          </reference>
          <reference field="5" count="1" selected="0">
            <x v="46"/>
          </reference>
          <reference field="10" count="1" selected="0">
            <x v="24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74">
      <pivotArea dataOnly="0" labelOnly="1" outline="0" fieldPosition="0">
        <references count="5">
          <reference field="3" count="1" selected="0">
            <x v="50"/>
          </reference>
          <reference field="5" count="1" selected="0">
            <x v="47"/>
          </reference>
          <reference field="10" count="1" selected="0">
            <x v="24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73">
      <pivotArea dataOnly="0" labelOnly="1" outline="0" fieldPosition="0">
        <references count="5">
          <reference field="3" count="1" selected="0">
            <x v="52"/>
          </reference>
          <reference field="5" count="1" selected="0">
            <x v="32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72">
      <pivotArea dataOnly="0" labelOnly="1" outline="0" fieldPosition="0">
        <references count="5">
          <reference field="3" count="1" selected="0">
            <x v="53"/>
          </reference>
          <reference field="5" count="1" selected="0">
            <x v="18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71">
      <pivotArea dataOnly="0" labelOnly="1" outline="0" fieldPosition="0">
        <references count="5">
          <reference field="3" count="1" selected="0">
            <x v="60"/>
          </reference>
          <reference field="5" count="1" selected="0">
            <x v="26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70">
      <pivotArea dataOnly="0" labelOnly="1" outline="0" fieldPosition="0">
        <references count="5">
          <reference field="3" count="1" selected="0">
            <x v="61"/>
          </reference>
          <reference field="5" count="1" selected="0">
            <x v="53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2"/>
          </reference>
        </references>
      </pivotArea>
    </format>
    <format dxfId="69">
      <pivotArea dataOnly="0" labelOnly="1" outline="0" fieldPosition="0">
        <references count="5">
          <reference field="3" count="1" selected="0">
            <x v="62"/>
          </reference>
          <reference field="5" count="1" selected="0">
            <x v="13"/>
          </reference>
          <reference field="10" count="1" selected="0">
            <x v="35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8">
      <pivotArea dataOnly="0" labelOnly="1" outline="0" fieldPosition="0">
        <references count="5">
          <reference field="3" count="1" selected="0">
            <x v="63"/>
          </reference>
          <reference field="5" count="1" selected="0">
            <x v="39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7">
      <pivotArea dataOnly="0" labelOnly="1" outline="0" fieldPosition="0">
        <references count="5">
          <reference field="3" count="1" selected="0">
            <x v="67"/>
          </reference>
          <reference field="5" count="1" selected="0">
            <x v="42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6">
      <pivotArea dataOnly="0" labelOnly="1" outline="0" fieldPosition="0">
        <references count="5">
          <reference field="3" count="1" selected="0">
            <x v="68"/>
          </reference>
          <reference field="5" count="1" selected="0">
            <x v="42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5">
      <pivotArea dataOnly="0" labelOnly="1" outline="0" fieldPosition="0">
        <references count="5">
          <reference field="3" count="1" selected="0">
            <x v="69"/>
          </reference>
          <reference field="5" count="1" selected="0">
            <x v="32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64">
      <pivotArea dataOnly="0" labelOnly="1" outline="0" fieldPosition="0">
        <references count="5">
          <reference field="3" count="1" selected="0">
            <x v="75"/>
          </reference>
          <reference field="5" count="1" selected="0">
            <x v="26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63">
      <pivotArea dataOnly="0" labelOnly="1" outline="0" fieldPosition="0">
        <references count="5">
          <reference field="3" count="1" selected="0">
            <x v="76"/>
          </reference>
          <reference field="5" count="1" selected="0">
            <x v="36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2">
      <pivotArea dataOnly="0" labelOnly="1" outline="0" fieldPosition="0">
        <references count="5">
          <reference field="3" count="1" selected="0">
            <x v="77"/>
          </reference>
          <reference field="5" count="1" selected="0">
            <x v="37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61">
      <pivotArea dataOnly="0" labelOnly="1" outline="0" fieldPosition="0">
        <references count="5">
          <reference field="3" count="1" selected="0">
            <x v="83"/>
          </reference>
          <reference field="5" count="1" selected="0">
            <x v="11"/>
          </reference>
          <reference field="10" count="1" selected="0">
            <x v="36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60">
      <pivotArea dataOnly="0" labelOnly="1" outline="0" fieldPosition="0">
        <references count="5">
          <reference field="3" count="1" selected="0">
            <x v="95"/>
          </reference>
          <reference field="5" count="1" selected="0">
            <x v="24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9">
      <pivotArea dataOnly="0" labelOnly="1" outline="0" fieldPosition="0">
        <references count="5">
          <reference field="3" count="1" selected="0">
            <x v="97"/>
          </reference>
          <reference field="5" count="1" selected="0">
            <x v="32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58">
      <pivotArea dataOnly="0" labelOnly="1" outline="0" fieldPosition="0">
        <references count="5">
          <reference field="3" count="1" selected="0">
            <x v="98"/>
          </reference>
          <reference field="5" count="1" selected="0">
            <x v="23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7">
      <pivotArea dataOnly="0" labelOnly="1" outline="0" fieldPosition="0">
        <references count="5">
          <reference field="3" count="1" selected="0">
            <x v="99"/>
          </reference>
          <reference field="5" count="1" selected="0">
            <x v="18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56">
      <pivotArea dataOnly="0" labelOnly="1" outline="0" fieldPosition="0">
        <references count="5">
          <reference field="3" count="1" selected="0">
            <x v="103"/>
          </reference>
          <reference field="5" count="1" selected="0">
            <x v="19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55">
      <pivotArea dataOnly="0" labelOnly="1" outline="0" fieldPosition="0">
        <references count="5">
          <reference field="3" count="1" selected="0">
            <x v="109"/>
          </reference>
          <reference field="5" count="1" selected="0">
            <x v="50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4">
      <pivotArea dataOnly="0" labelOnly="1" outline="0" fieldPosition="0">
        <references count="5">
          <reference field="3" count="1" selected="0">
            <x v="110"/>
          </reference>
          <reference field="5" count="1" selected="0">
            <x v="33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53">
      <pivotArea dataOnly="0" labelOnly="1" outline="0" fieldPosition="0">
        <references count="5">
          <reference field="3" count="1" selected="0">
            <x v="111"/>
          </reference>
          <reference field="5" count="1" selected="0">
            <x v="51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2">
      <pivotArea dataOnly="0" labelOnly="1" outline="0" fieldPosition="0">
        <references count="5">
          <reference field="3" count="1" selected="0">
            <x v="113"/>
          </reference>
          <reference field="5" count="1" selected="0">
            <x v="55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1">
      <pivotArea dataOnly="0" labelOnly="1" outline="0" fieldPosition="0">
        <references count="5">
          <reference field="3" count="1" selected="0">
            <x v="115"/>
          </reference>
          <reference field="5" count="1" selected="0">
            <x v="28"/>
          </reference>
          <reference field="10" count="1" selected="0">
            <x v="30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0">
      <pivotArea dataOnly="0" labelOnly="1" outline="0" fieldPosition="0">
        <references count="5">
          <reference field="3" count="1" selected="0">
            <x v="117"/>
          </reference>
          <reference field="5" count="1" selected="0">
            <x v="15"/>
          </reference>
          <reference field="10" count="1" selected="0">
            <x v="34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49">
      <pivotArea dataOnly="0" labelOnly="1" outline="0" fieldPosition="0">
        <references count="5">
          <reference field="3" count="1" selected="0">
            <x v="119"/>
          </reference>
          <reference field="5" count="1" selected="0">
            <x v="24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48">
      <pivotArea dataOnly="0" labelOnly="1" outline="0" fieldPosition="0">
        <references count="5">
          <reference field="3" count="1" selected="0">
            <x v="125"/>
          </reference>
          <reference field="5" count="1" selected="0">
            <x v="49"/>
          </reference>
          <reference field="10" count="1" selected="0">
            <x v="23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47">
      <pivotArea dataOnly="0" labelOnly="1" outline="0" fieldPosition="0">
        <references count="5">
          <reference field="3" count="1" selected="0">
            <x v="127"/>
          </reference>
          <reference field="5" count="1" selected="0">
            <x v="40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46">
      <pivotArea dataOnly="0" labelOnly="1" outline="0" fieldPosition="0">
        <references count="5">
          <reference field="3" count="1" selected="0">
            <x v="129"/>
          </reference>
          <reference field="5" count="1" selected="0">
            <x v="53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45">
      <pivotArea dataOnly="0" labelOnly="1" outline="0" fieldPosition="0">
        <references count="5">
          <reference field="3" count="1" selected="0">
            <x v="130"/>
          </reference>
          <reference field="5" count="1" selected="0">
            <x v="54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44">
      <pivotArea dataOnly="0" labelOnly="1" outline="0" fieldPosition="0">
        <references count="5">
          <reference field="3" count="1" selected="0">
            <x v="131"/>
          </reference>
          <reference field="5" count="1" selected="0">
            <x v="29"/>
          </reference>
          <reference field="10" count="1" selected="0">
            <x v="30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43">
      <pivotArea dataOnly="0" labelOnly="1" outline="0" fieldPosition="0">
        <references count="5">
          <reference field="3" count="1" selected="0">
            <x v="133"/>
          </reference>
          <reference field="5" count="1" selected="0">
            <x v="34"/>
          </reference>
          <reference field="10" count="1" selected="0">
            <x v="27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42">
      <pivotArea dataOnly="0" labelOnly="1" outline="0" fieldPosition="0">
        <references count="5">
          <reference field="3" count="1" selected="0">
            <x v="135"/>
          </reference>
          <reference field="5" count="1" selected="0">
            <x v="37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41">
      <pivotArea dataOnly="0" labelOnly="1" outline="0" fieldPosition="0">
        <references count="5">
          <reference field="3" count="1" selected="0">
            <x v="137"/>
          </reference>
          <reference field="5" count="1" selected="0">
            <x v="22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40">
      <pivotArea dataOnly="0" labelOnly="1" outline="0" fieldPosition="0">
        <references count="5">
          <reference field="3" count="1" selected="0">
            <x v="139"/>
          </reference>
          <reference field="5" count="1" selected="0">
            <x v="14"/>
          </reference>
          <reference field="10" count="1" selected="0">
            <x v="35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39">
      <pivotArea dataOnly="0" labelOnly="1" outline="0" fieldPosition="0">
        <references count="5">
          <reference field="3" count="1" selected="0">
            <x v="141"/>
          </reference>
          <reference field="5" count="1" selected="0">
            <x v="35"/>
          </reference>
          <reference field="10" count="1" selected="0">
            <x v="27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38">
      <pivotArea dataOnly="0" labelOnly="1" outline="0" fieldPosition="0">
        <references count="5">
          <reference field="3" count="1" selected="0">
            <x v="146"/>
          </reference>
          <reference field="5" count="1" selected="0">
            <x v="50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37">
      <pivotArea dataOnly="0" labelOnly="1" outline="0" fieldPosition="0">
        <references count="5">
          <reference field="3" count="1" selected="0">
            <x v="147"/>
          </reference>
          <reference field="5" count="1" selected="0">
            <x v="52"/>
          </reference>
          <reference field="10" count="1" selected="0">
            <x v="22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36">
      <pivotArea dataOnly="0" labelOnly="1" outline="0" fieldPosition="0">
        <references count="5">
          <reference field="3" count="1" selected="0">
            <x v="148"/>
          </reference>
          <reference field="5" count="1" selected="0">
            <x v="55"/>
          </reference>
          <reference field="10" count="1" selected="0">
            <x v="21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35">
      <pivotArea dataOnly="0" labelOnly="1" outline="0" fieldPosition="0">
        <references count="5">
          <reference field="3" count="1" selected="0">
            <x v="151"/>
          </reference>
          <reference field="5" count="1" selected="0">
            <x v="36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34">
      <pivotArea dataOnly="0" labelOnly="1" outline="0" fieldPosition="0">
        <references count="5">
          <reference field="3" count="1" selected="0">
            <x v="156"/>
          </reference>
          <reference field="5" count="1" selected="0">
            <x v="48"/>
          </reference>
          <reference field="10" count="1" selected="0">
            <x v="23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33">
      <pivotArea dataOnly="0" labelOnly="1" outline="0" fieldPosition="0">
        <references count="5">
          <reference field="3" count="1" selected="0">
            <x v="159"/>
          </reference>
          <reference field="5" count="1" selected="0">
            <x v="31"/>
          </reference>
          <reference field="10" count="1" selected="0">
            <x v="28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32">
      <pivotArea dataOnly="0" labelOnly="1" outline="0" fieldPosition="0">
        <references count="5">
          <reference field="3" count="1" selected="0">
            <x v="166"/>
          </reference>
          <reference field="5" count="1" selected="0">
            <x v="20"/>
          </reference>
          <reference field="10" count="1" selected="0">
            <x v="32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31">
      <pivotArea dataOnly="0" labelOnly="1" outline="0" fieldPosition="0">
        <references count="5">
          <reference field="3" count="1" selected="0">
            <x v="168"/>
          </reference>
          <reference field="5" count="1" selected="0">
            <x v="45"/>
          </reference>
          <reference field="10" count="1" selected="0">
            <x v="24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30">
      <pivotArea dataOnly="0" labelOnly="1" outline="0" fieldPosition="0">
        <references count="5">
          <reference field="3" count="1" selected="0">
            <x v="170"/>
          </reference>
          <reference field="5" count="1" selected="0">
            <x v="23"/>
          </reference>
          <reference field="10" count="1" selected="0">
            <x v="3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29">
      <pivotArea dataOnly="0" labelOnly="1" outline="0" fieldPosition="0">
        <references count="5">
          <reference field="3" count="1" selected="0">
            <x v="172"/>
          </reference>
          <reference field="5" count="1" selected="0">
            <x v="48"/>
          </reference>
          <reference field="10" count="1" selected="0">
            <x v="23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28">
      <pivotArea dataOnly="0" labelOnly="1" outline="0" fieldPosition="0">
        <references count="5">
          <reference field="3" count="1" selected="0">
            <x v="173"/>
          </reference>
          <reference field="5" count="1" selected="0">
            <x v="30"/>
          </reference>
          <reference field="10" count="1" selected="0">
            <x v="29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27">
      <pivotArea dataOnly="0" labelOnly="1" outline="0" fieldPosition="0">
        <references count="5">
          <reference field="3" count="1" selected="0">
            <x v="177"/>
          </reference>
          <reference field="5" count="1" selected="0">
            <x v="43"/>
          </reference>
          <reference field="10" count="1" selected="0">
            <x v="25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26">
      <pivotArea dataOnly="0" labelOnly="1" outline="0" fieldPosition="0">
        <references count="5">
          <reference field="3" count="1" selected="0">
            <x v="179"/>
          </reference>
          <reference field="5" count="1" selected="0">
            <x v="38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25">
      <pivotArea dataOnly="0" labelOnly="1" outline="0" fieldPosition="0">
        <references count="5">
          <reference field="3" count="1" selected="0">
            <x v="181"/>
          </reference>
          <reference field="5" count="1" selected="0">
            <x v="12"/>
          </reference>
          <reference field="10" count="1" selected="0">
            <x v="35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24">
      <pivotArea dataOnly="0" labelOnly="1" outline="0" fieldPosition="0">
        <references count="5">
          <reference field="3" count="1" selected="0">
            <x v="185"/>
          </reference>
          <reference field="5" count="1" selected="0">
            <x v="36"/>
          </reference>
          <reference field="10" count="1" selected="0">
            <x v="26"/>
          </reference>
          <reference field="11" count="1" selected="0">
            <x v="1"/>
          </reference>
          <reference field="12" count="1">
            <x v="3"/>
          </reference>
        </references>
      </pivotArea>
    </format>
    <format dxfId="23">
      <pivotArea dataOnly="0" labelOnly="1" outline="0" fieldPosition="0">
        <references count="5">
          <reference field="3" count="1" selected="0">
            <x v="1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22">
      <pivotArea dataOnly="0" labelOnly="1" outline="0" fieldPosition="0">
        <references count="5">
          <reference field="3" count="1" selected="0">
            <x v="14"/>
          </reference>
          <reference field="5" count="1" selected="0">
            <x v="9"/>
          </reference>
          <reference field="10" count="1" selected="0">
            <x v="38"/>
          </reference>
          <reference field="11" count="1" selected="0">
            <x v="2"/>
          </reference>
          <reference field="12" count="1">
            <x v="3"/>
          </reference>
        </references>
      </pivotArea>
    </format>
    <format dxfId="21">
      <pivotArea dataOnly="0" labelOnly="1" outline="0" fieldPosition="0">
        <references count="5">
          <reference field="3" count="1" selected="0">
            <x v="17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20">
      <pivotArea dataOnly="0" labelOnly="1" outline="0" fieldPosition="0">
        <references count="5">
          <reference field="3" count="1" selected="0">
            <x v="19"/>
          </reference>
          <reference field="5" count="1" selected="0">
            <x v="1"/>
          </reference>
          <reference field="10" count="1" selected="0">
            <x v="42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19">
      <pivotArea dataOnly="0" labelOnly="1" outline="0" fieldPosition="0">
        <references count="5">
          <reference field="3" count="1" selected="0">
            <x v="21"/>
          </reference>
          <reference field="5" count="1" selected="0">
            <x v="8"/>
          </reference>
          <reference field="10" count="1" selected="0">
            <x v="38"/>
          </reference>
          <reference field="11" count="1" selected="0">
            <x v="2"/>
          </reference>
          <reference field="12" count="1">
            <x v="3"/>
          </reference>
        </references>
      </pivotArea>
    </format>
    <format dxfId="18">
      <pivotArea dataOnly="0" labelOnly="1" outline="0" fieldPosition="0">
        <references count="5">
          <reference field="3" count="1" selected="0">
            <x v="40"/>
          </reference>
          <reference field="5" count="1" selected="0">
            <x v="6"/>
          </reference>
          <reference field="10" count="1" selected="0">
            <x v="39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17">
      <pivotArea dataOnly="0" labelOnly="1" outline="0" fieldPosition="0">
        <references count="5">
          <reference field="3" count="1" selected="0">
            <x v="43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1"/>
          </reference>
        </references>
      </pivotArea>
    </format>
    <format dxfId="16">
      <pivotArea dataOnly="0" labelOnly="1" outline="0" fieldPosition="0">
        <references count="5">
          <reference field="3" count="1" selected="0">
            <x v="51"/>
          </reference>
          <reference field="5" count="1" selected="0">
            <x v="2"/>
          </reference>
          <reference field="10" count="1" selected="0">
            <x v="42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15">
      <pivotArea dataOnly="0" labelOnly="1" outline="0" fieldPosition="0">
        <references count="5">
          <reference field="3" count="1" selected="0">
            <x v="56"/>
          </reference>
          <reference field="5" count="1" selected="0">
            <x v="10"/>
          </reference>
          <reference field="10" count="1" selected="0">
            <x v="37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14">
      <pivotArea dataOnly="0" labelOnly="1" outline="0" fieldPosition="0">
        <references count="5">
          <reference field="3" count="1" selected="0">
            <x v="57"/>
          </reference>
          <reference field="5" count="1" selected="0">
            <x v="7"/>
          </reference>
          <reference field="10" count="1" selected="0">
            <x v="38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13">
      <pivotArea dataOnly="0" labelOnly="1" outline="0" fieldPosition="0">
        <references count="5">
          <reference field="3" count="1" selected="0">
            <x v="70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12">
      <pivotArea dataOnly="0" labelOnly="1" outline="0" fieldPosition="0">
        <references count="5">
          <reference field="3" count="1" selected="0">
            <x v="72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11">
      <pivotArea dataOnly="0" labelOnly="1" outline="0" fieldPosition="0">
        <references count="5">
          <reference field="3" count="1" selected="0">
            <x v="74"/>
          </reference>
          <reference field="5" count="1" selected="0">
            <x v="3"/>
          </reference>
          <reference field="10" count="1" selected="0">
            <x v="41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10">
      <pivotArea dataOnly="0" labelOnly="1" outline="0" fieldPosition="0">
        <references count="5">
          <reference field="3" count="1" selected="0">
            <x v="79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9">
      <pivotArea dataOnly="0" labelOnly="1" outline="0" fieldPosition="0">
        <references count="5">
          <reference field="3" count="1" selected="0">
            <x v="104"/>
          </reference>
          <reference field="5" count="1" selected="0">
            <x v="9"/>
          </reference>
          <reference field="10" count="1" selected="0">
            <x v="38"/>
          </reference>
          <reference field="11" count="1" selected="0">
            <x v="2"/>
          </reference>
          <reference field="12" count="1">
            <x v="0"/>
          </reference>
        </references>
      </pivotArea>
    </format>
    <format dxfId="8">
      <pivotArea dataOnly="0" labelOnly="1" outline="0" fieldPosition="0">
        <references count="5">
          <reference field="3" count="1" selected="0">
            <x v="105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7">
      <pivotArea dataOnly="0" labelOnly="1" outline="0" fieldPosition="0">
        <references count="5">
          <reference field="3" count="1" selected="0">
            <x v="108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1"/>
          </reference>
        </references>
      </pivotArea>
    </format>
    <format dxfId="6">
      <pivotArea dataOnly="0" labelOnly="1" outline="0" fieldPosition="0">
        <references count="5">
          <reference field="3" count="1" selected="0">
            <x v="134"/>
          </reference>
          <reference field="5" count="1" selected="0">
            <x v="0"/>
          </reference>
          <reference field="10" count="1" selected="0">
            <x v="43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5">
      <pivotArea dataOnly="0" labelOnly="1" outline="0" fieldPosition="0">
        <references count="5">
          <reference field="3" count="1" selected="0">
            <x v="149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4">
      <pivotArea dataOnly="0" labelOnly="1" outline="0" fieldPosition="0">
        <references count="5">
          <reference field="3" count="1" selected="0">
            <x v="162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2"/>
          </reference>
        </references>
      </pivotArea>
    </format>
    <format dxfId="3">
      <pivotArea dataOnly="0" labelOnly="1" outline="0" fieldPosition="0">
        <references count="5">
          <reference field="3" count="1" selected="0">
            <x v="165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4"/>
          </reference>
        </references>
      </pivotArea>
    </format>
    <format dxfId="2">
      <pivotArea dataOnly="0" labelOnly="1" outline="0" fieldPosition="0">
        <references count="5">
          <reference field="3" count="1" selected="0">
            <x v="171"/>
          </reference>
          <reference field="5" count="1" selected="0">
            <x v="5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1"/>
          </reference>
        </references>
      </pivotArea>
    </format>
    <format dxfId="1">
      <pivotArea dataOnly="0" labelOnly="1" outline="0" fieldPosition="0">
        <references count="5">
          <reference field="3" count="1" selected="0">
            <x v="180"/>
          </reference>
          <reference field="5" count="1" selected="0">
            <x v="4"/>
          </reference>
          <reference field="10" count="1" selected="0">
            <x v="40"/>
          </reference>
          <reference field="11" count="1" selected="0">
            <x v="2"/>
          </reference>
          <reference field="12" count="1">
            <x v="1"/>
          </reference>
        </references>
      </pivotArea>
    </format>
    <format dxfId="0">
      <pivotArea dataOnly="0" labelOnly="1" outline="0" axis="axisValues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2A1E0-B47E-4E4C-81BD-6C46804A396D}" name="PivotTable2" cacheId="21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A3:F23" firstHeaderRow="1" firstDataRow="1" firstDataCol="5"/>
  <pivotFields count="14">
    <pivotField compact="0" outline="0" showAll="0" defaultSubtotal="0"/>
    <pivotField compact="0" outline="0" showAll="0" defaultSubtotal="0"/>
    <pivotField compact="0" outline="0" showAll="0" defaultSubtotal="0"/>
    <pivotField axis="axisRow" dataField="1" compact="0" outline="0" showAll="0" defaultSubtotal="0">
      <items count="186">
        <item x="104"/>
        <item x="0"/>
        <item x="15"/>
        <item x="121"/>
        <item x="16"/>
        <item x="133"/>
        <item x="110"/>
        <item x="54"/>
        <item x="119"/>
        <item x="174"/>
        <item x="21"/>
        <item x="163"/>
        <item x="11"/>
        <item x="78"/>
        <item x="86"/>
        <item x="10"/>
        <item x="181"/>
        <item x="38"/>
        <item x="117"/>
        <item x="2"/>
        <item x="134"/>
        <item x="48"/>
        <item x="68"/>
        <item x="146"/>
        <item x="142"/>
        <item x="20"/>
        <item x="175"/>
        <item x="25"/>
        <item x="127"/>
        <item x="115"/>
        <item x="159"/>
        <item x="182"/>
        <item x="106"/>
        <item x="88"/>
        <item x="31"/>
        <item x="130"/>
        <item x="132"/>
        <item x="98"/>
        <item x="145"/>
        <item x="56"/>
        <item x="161"/>
        <item x="140"/>
        <item x="156"/>
        <item x="39"/>
        <item x="89"/>
        <item x="151"/>
        <item x="116"/>
        <item x="120"/>
        <item x="30"/>
        <item x="94"/>
        <item x="90"/>
        <item x="42"/>
        <item x="58"/>
        <item x="164"/>
        <item x="24"/>
        <item x="35"/>
        <item x="102"/>
        <item x="4"/>
        <item x="36"/>
        <item x="131"/>
        <item x="55"/>
        <item x="171"/>
        <item x="87"/>
        <item x="114"/>
        <item x="144"/>
        <item x="147"/>
        <item x="143"/>
        <item x="168"/>
        <item x="169"/>
        <item x="59"/>
        <item x="40"/>
        <item x="34"/>
        <item x="100"/>
        <item x="128"/>
        <item x="99"/>
        <item x="165"/>
        <item x="12"/>
        <item x="167"/>
        <item x="14"/>
        <item x="101"/>
        <item x="139"/>
        <item x="97"/>
        <item x="157"/>
        <item x="103"/>
        <item x="82"/>
        <item x="183"/>
        <item x="69"/>
        <item x="79"/>
        <item x="32"/>
        <item x="80"/>
        <item x="73"/>
        <item x="74"/>
        <item x="177"/>
        <item x="84"/>
        <item x="138"/>
        <item x="7"/>
        <item x="160"/>
        <item x="111"/>
        <item x="52"/>
        <item x="50"/>
        <item x="77"/>
        <item x="184"/>
        <item x="26"/>
        <item x="105"/>
        <item x="162"/>
        <item x="41"/>
        <item x="185"/>
        <item x="150"/>
        <item x="43"/>
        <item x="123"/>
        <item x="112"/>
        <item x="124"/>
        <item x="37"/>
        <item x="125"/>
        <item x="152"/>
        <item x="57"/>
        <item x="158"/>
        <item x="6"/>
        <item x="29"/>
        <item x="8"/>
        <item x="19"/>
        <item x="28"/>
        <item x="153"/>
        <item x="70"/>
        <item x="85"/>
        <item x="122"/>
        <item x="76"/>
        <item x="63"/>
        <item x="135"/>
        <item x="172"/>
        <item x="173"/>
        <item x="108"/>
        <item x="22"/>
        <item x="60"/>
        <item x="1"/>
        <item x="61"/>
        <item x="154"/>
        <item x="107"/>
        <item x="67"/>
        <item x="5"/>
        <item x="149"/>
        <item x="113"/>
        <item x="96"/>
        <item x="33"/>
        <item x="136"/>
        <item x="179"/>
        <item x="170"/>
        <item x="92"/>
        <item x="126"/>
        <item x="44"/>
        <item x="93"/>
        <item x="13"/>
        <item x="178"/>
        <item x="27"/>
        <item x="148"/>
        <item x="141"/>
        <item x="91"/>
        <item x="180"/>
        <item x="72"/>
        <item x="9"/>
        <item x="176"/>
        <item x="137"/>
        <item x="3"/>
        <item x="17"/>
        <item x="95"/>
        <item x="45"/>
        <item x="51"/>
        <item x="71"/>
        <item x="64"/>
        <item x="155"/>
        <item x="53"/>
        <item x="47"/>
        <item x="65"/>
        <item x="109"/>
        <item x="66"/>
        <item x="129"/>
        <item x="23"/>
        <item x="118"/>
        <item x="18"/>
        <item x="62"/>
        <item x="46"/>
        <item x="49"/>
        <item x="83"/>
        <item x="75"/>
        <item x="81"/>
        <item x="166"/>
      </items>
    </pivotField>
    <pivotField compact="0" outline="0" showAll="0" defaultSubtotal="0"/>
    <pivotField axis="axisRow" compact="0" numFmtId="14" outline="0" showAll="0" defaultSubtotal="0">
      <items count="107">
        <item x="0"/>
        <item x="1"/>
        <item x="30"/>
        <item x="68"/>
        <item x="2"/>
        <item x="31"/>
        <item x="101"/>
        <item x="3"/>
        <item x="32"/>
        <item x="60"/>
        <item x="69"/>
        <item x="70"/>
        <item x="33"/>
        <item x="61"/>
        <item x="4"/>
        <item x="5"/>
        <item x="102"/>
        <item x="62"/>
        <item x="34"/>
        <item x="71"/>
        <item x="35"/>
        <item x="72"/>
        <item x="73"/>
        <item x="36"/>
        <item x="6"/>
        <item x="37"/>
        <item x="38"/>
        <item x="39"/>
        <item x="40"/>
        <item x="74"/>
        <item x="75"/>
        <item x="7"/>
        <item x="41"/>
        <item x="8"/>
        <item x="9"/>
        <item x="76"/>
        <item x="10"/>
        <item x="42"/>
        <item x="43"/>
        <item x="77"/>
        <item x="44"/>
        <item x="78"/>
        <item x="79"/>
        <item x="80"/>
        <item x="81"/>
        <item x="45"/>
        <item x="63"/>
        <item x="64"/>
        <item x="46"/>
        <item x="82"/>
        <item x="83"/>
        <item x="84"/>
        <item x="65"/>
        <item x="103"/>
        <item x="104"/>
        <item x="85"/>
        <item x="47"/>
        <item x="11"/>
        <item x="12"/>
        <item x="13"/>
        <item x="105"/>
        <item x="86"/>
        <item x="87"/>
        <item x="14"/>
        <item x="88"/>
        <item x="15"/>
        <item x="48"/>
        <item x="16"/>
        <item x="106"/>
        <item x="49"/>
        <item x="89"/>
        <item x="17"/>
        <item x="90"/>
        <item x="18"/>
        <item x="19"/>
        <item x="20"/>
        <item x="21"/>
        <item x="50"/>
        <item x="51"/>
        <item x="22"/>
        <item x="23"/>
        <item x="52"/>
        <item x="53"/>
        <item x="54"/>
        <item x="55"/>
        <item x="24"/>
        <item x="56"/>
        <item x="25"/>
        <item x="26"/>
        <item x="66"/>
        <item x="67"/>
        <item x="57"/>
        <item x="91"/>
        <item x="92"/>
        <item x="93"/>
        <item x="94"/>
        <item x="27"/>
        <item x="95"/>
        <item x="96"/>
        <item x="97"/>
        <item x="98"/>
        <item x="58"/>
        <item x="59"/>
        <item x="99"/>
        <item x="28"/>
        <item x="29"/>
        <item x="100"/>
      </items>
    </pivotField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4">
        <item x="24"/>
        <item x="31"/>
        <item x="42"/>
        <item x="23"/>
        <item x="41"/>
        <item x="22"/>
        <item x="21"/>
        <item x="30"/>
        <item x="20"/>
        <item x="19"/>
        <item x="29"/>
        <item x="18"/>
        <item x="17"/>
        <item x="40"/>
        <item x="16"/>
        <item x="15"/>
        <item x="14"/>
        <item x="13"/>
        <item x="12"/>
        <item x="11"/>
        <item x="10"/>
        <item x="39"/>
        <item x="33"/>
        <item x="28"/>
        <item x="27"/>
        <item x="38"/>
        <item x="9"/>
        <item x="8"/>
        <item x="7"/>
        <item x="37"/>
        <item x="26"/>
        <item x="6"/>
        <item x="25"/>
        <item x="32"/>
        <item x="5"/>
        <item x="4"/>
        <item x="36"/>
        <item x="35"/>
        <item x="3"/>
        <item x="43"/>
        <item x="2"/>
        <item x="34"/>
        <item x="1"/>
        <item x="0"/>
      </items>
    </pivotField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 defaultSubtotal="0">
      <items count="5">
        <item x="1"/>
        <item h="1" x="3"/>
        <item h="1" x="0"/>
        <item h="1" x="4"/>
        <item h="1" x="2"/>
      </items>
    </pivotField>
    <pivotField compact="0" outline="0" showAll="0" defaultSubtotal="0"/>
  </pivotFields>
  <rowFields count="5">
    <field x="11"/>
    <field x="3"/>
    <field x="5"/>
    <field x="10"/>
    <field x="12"/>
  </rowFields>
  <rowItems count="20">
    <i>
      <x/>
      <x v="88"/>
      <x v="87"/>
      <x v="6"/>
      <x/>
    </i>
    <i r="1">
      <x v="89"/>
      <x v="86"/>
      <x v="6"/>
      <x/>
    </i>
    <i r="1">
      <x v="120"/>
      <x v="65"/>
      <x v="16"/>
      <x/>
    </i>
    <i r="1">
      <x v="132"/>
      <x v="71"/>
      <x v="14"/>
      <x/>
    </i>
    <i r="1">
      <x v="178"/>
      <x v="63"/>
      <x v="17"/>
      <x/>
    </i>
    <i t="default">
      <x/>
    </i>
    <i>
      <x v="1"/>
      <x v="53"/>
      <x v="18"/>
      <x v="32"/>
      <x/>
    </i>
    <i r="1">
      <x v="83"/>
      <x v="11"/>
      <x v="36"/>
      <x/>
    </i>
    <i r="1">
      <x v="103"/>
      <x v="19"/>
      <x v="32"/>
      <x/>
    </i>
    <i r="1">
      <x v="117"/>
      <x v="15"/>
      <x v="34"/>
      <x/>
    </i>
    <i r="1">
      <x v="125"/>
      <x v="49"/>
      <x v="23"/>
      <x/>
    </i>
    <i r="1">
      <x v="139"/>
      <x v="14"/>
      <x v="35"/>
      <x/>
    </i>
    <i t="default">
      <x v="1"/>
    </i>
    <i>
      <x v="2"/>
      <x v="19"/>
      <x v="1"/>
      <x v="42"/>
      <x/>
    </i>
    <i r="1">
      <x v="40"/>
      <x v="6"/>
      <x v="39"/>
      <x/>
    </i>
    <i r="1">
      <x v="51"/>
      <x v="2"/>
      <x v="42"/>
      <x/>
    </i>
    <i r="1">
      <x v="56"/>
      <x v="10"/>
      <x v="37"/>
      <x/>
    </i>
    <i r="1">
      <x v="104"/>
      <x v="9"/>
      <x v="38"/>
      <x/>
    </i>
    <i t="default">
      <x v="2"/>
    </i>
    <i t="grand">
      <x/>
    </i>
  </rowItems>
  <colItems count="1">
    <i/>
  </colItems>
  <dataFields count="1">
    <dataField name="Count" fld="3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E9870-D7A8-41EC-A502-109E76DD9CEC}" name="PivotTable2" cacheId="21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A3:F34" firstHeaderRow="1" firstDataRow="1" firstDataCol="5"/>
  <pivotFields count="14">
    <pivotField compact="0" outline="0" showAll="0" defaultSubtotal="0"/>
    <pivotField compact="0" outline="0" showAll="0" defaultSubtotal="0"/>
    <pivotField compact="0" outline="0" showAll="0" defaultSubtotal="0"/>
    <pivotField axis="axisRow" dataField="1" compact="0" outline="0" showAll="0" defaultSubtotal="0">
      <items count="186">
        <item x="104"/>
        <item x="0"/>
        <item x="15"/>
        <item x="121"/>
        <item x="16"/>
        <item x="133"/>
        <item x="110"/>
        <item x="54"/>
        <item x="119"/>
        <item x="174"/>
        <item x="21"/>
        <item x="163"/>
        <item x="11"/>
        <item x="78"/>
        <item x="86"/>
        <item x="10"/>
        <item x="181"/>
        <item x="38"/>
        <item x="117"/>
        <item x="2"/>
        <item x="134"/>
        <item x="48"/>
        <item x="68"/>
        <item x="146"/>
        <item x="142"/>
        <item x="20"/>
        <item x="175"/>
        <item x="25"/>
        <item x="127"/>
        <item x="115"/>
        <item x="159"/>
        <item x="182"/>
        <item x="106"/>
        <item x="88"/>
        <item x="31"/>
        <item x="130"/>
        <item x="132"/>
        <item x="98"/>
        <item x="145"/>
        <item x="56"/>
        <item x="161"/>
        <item x="140"/>
        <item x="156"/>
        <item x="39"/>
        <item x="89"/>
        <item x="151"/>
        <item x="116"/>
        <item x="120"/>
        <item x="30"/>
        <item x="94"/>
        <item x="90"/>
        <item x="42"/>
        <item x="58"/>
        <item x="164"/>
        <item x="24"/>
        <item x="35"/>
        <item x="102"/>
        <item x="4"/>
        <item x="36"/>
        <item x="131"/>
        <item x="55"/>
        <item x="171"/>
        <item x="87"/>
        <item x="114"/>
        <item x="144"/>
        <item x="147"/>
        <item x="143"/>
        <item x="168"/>
        <item x="169"/>
        <item x="59"/>
        <item x="40"/>
        <item x="34"/>
        <item x="100"/>
        <item x="128"/>
        <item x="99"/>
        <item x="165"/>
        <item x="12"/>
        <item x="167"/>
        <item x="14"/>
        <item x="101"/>
        <item x="139"/>
        <item x="97"/>
        <item x="157"/>
        <item x="103"/>
        <item x="82"/>
        <item x="183"/>
        <item x="69"/>
        <item x="79"/>
        <item x="32"/>
        <item x="80"/>
        <item x="73"/>
        <item x="74"/>
        <item x="177"/>
        <item x="84"/>
        <item x="138"/>
        <item x="7"/>
        <item x="160"/>
        <item x="111"/>
        <item x="52"/>
        <item x="50"/>
        <item x="77"/>
        <item x="184"/>
        <item x="26"/>
        <item x="105"/>
        <item x="162"/>
        <item x="41"/>
        <item x="185"/>
        <item x="150"/>
        <item x="43"/>
        <item x="123"/>
        <item x="112"/>
        <item x="124"/>
        <item x="37"/>
        <item x="125"/>
        <item x="152"/>
        <item x="57"/>
        <item x="158"/>
        <item x="6"/>
        <item x="29"/>
        <item x="8"/>
        <item x="19"/>
        <item x="28"/>
        <item x="153"/>
        <item x="70"/>
        <item x="85"/>
        <item x="122"/>
        <item x="76"/>
        <item x="63"/>
        <item x="135"/>
        <item x="172"/>
        <item x="173"/>
        <item x="108"/>
        <item x="22"/>
        <item x="60"/>
        <item x="1"/>
        <item x="61"/>
        <item x="154"/>
        <item x="107"/>
        <item x="67"/>
        <item x="5"/>
        <item x="149"/>
        <item x="113"/>
        <item x="96"/>
        <item x="33"/>
        <item x="136"/>
        <item x="179"/>
        <item x="170"/>
        <item x="92"/>
        <item x="126"/>
        <item x="44"/>
        <item x="93"/>
        <item x="13"/>
        <item x="178"/>
        <item x="27"/>
        <item x="148"/>
        <item x="141"/>
        <item x="91"/>
        <item x="180"/>
        <item x="72"/>
        <item x="9"/>
        <item x="176"/>
        <item x="137"/>
        <item x="3"/>
        <item x="17"/>
        <item x="95"/>
        <item x="45"/>
        <item x="51"/>
        <item x="71"/>
        <item x="64"/>
        <item x="155"/>
        <item x="53"/>
        <item x="47"/>
        <item x="65"/>
        <item x="109"/>
        <item x="66"/>
        <item x="129"/>
        <item x="23"/>
        <item x="118"/>
        <item x="18"/>
        <item x="62"/>
        <item x="46"/>
        <item x="49"/>
        <item x="83"/>
        <item x="75"/>
        <item x="81"/>
        <item x="166"/>
      </items>
    </pivotField>
    <pivotField compact="0" outline="0" showAll="0" defaultSubtotal="0"/>
    <pivotField axis="axisRow" compact="0" numFmtId="14" outline="0" showAll="0" defaultSubtotal="0">
      <items count="107">
        <item x="0"/>
        <item x="1"/>
        <item x="30"/>
        <item x="68"/>
        <item x="2"/>
        <item x="31"/>
        <item x="101"/>
        <item x="3"/>
        <item x="32"/>
        <item x="60"/>
        <item x="69"/>
        <item x="70"/>
        <item x="33"/>
        <item x="61"/>
        <item x="4"/>
        <item x="5"/>
        <item x="102"/>
        <item x="62"/>
        <item x="34"/>
        <item x="71"/>
        <item x="35"/>
        <item x="72"/>
        <item x="73"/>
        <item x="36"/>
        <item x="6"/>
        <item x="37"/>
        <item x="38"/>
        <item x="39"/>
        <item x="40"/>
        <item x="74"/>
        <item x="75"/>
        <item x="7"/>
        <item x="41"/>
        <item x="8"/>
        <item x="9"/>
        <item x="76"/>
        <item x="10"/>
        <item x="42"/>
        <item x="43"/>
        <item x="77"/>
        <item x="44"/>
        <item x="78"/>
        <item x="79"/>
        <item x="80"/>
        <item x="81"/>
        <item x="45"/>
        <item x="63"/>
        <item x="64"/>
        <item x="46"/>
        <item x="82"/>
        <item x="83"/>
        <item x="84"/>
        <item x="65"/>
        <item x="103"/>
        <item x="104"/>
        <item x="85"/>
        <item x="47"/>
        <item x="11"/>
        <item x="12"/>
        <item x="13"/>
        <item x="105"/>
        <item x="86"/>
        <item x="87"/>
        <item x="14"/>
        <item x="88"/>
        <item x="15"/>
        <item x="48"/>
        <item x="16"/>
        <item x="106"/>
        <item x="49"/>
        <item x="89"/>
        <item x="17"/>
        <item x="90"/>
        <item x="18"/>
        <item x="19"/>
        <item x="20"/>
        <item x="21"/>
        <item x="50"/>
        <item x="51"/>
        <item x="22"/>
        <item x="23"/>
        <item x="52"/>
        <item x="53"/>
        <item x="54"/>
        <item x="55"/>
        <item x="24"/>
        <item x="56"/>
        <item x="25"/>
        <item x="26"/>
        <item x="66"/>
        <item x="67"/>
        <item x="57"/>
        <item x="91"/>
        <item x="92"/>
        <item x="93"/>
        <item x="94"/>
        <item x="27"/>
        <item x="95"/>
        <item x="96"/>
        <item x="97"/>
        <item x="98"/>
        <item x="58"/>
        <item x="59"/>
        <item x="99"/>
        <item x="28"/>
        <item x="29"/>
        <item x="100"/>
      </items>
    </pivotField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4">
        <item x="24"/>
        <item x="31"/>
        <item x="42"/>
        <item x="23"/>
        <item x="41"/>
        <item x="22"/>
        <item x="21"/>
        <item x="30"/>
        <item x="20"/>
        <item x="19"/>
        <item x="29"/>
        <item x="18"/>
        <item x="17"/>
        <item x="40"/>
        <item x="16"/>
        <item x="15"/>
        <item x="14"/>
        <item x="13"/>
        <item x="12"/>
        <item x="11"/>
        <item x="10"/>
        <item x="39"/>
        <item x="33"/>
        <item x="28"/>
        <item x="27"/>
        <item x="38"/>
        <item x="9"/>
        <item x="8"/>
        <item x="7"/>
        <item x="37"/>
        <item x="26"/>
        <item x="6"/>
        <item x="25"/>
        <item x="32"/>
        <item x="5"/>
        <item x="4"/>
        <item x="36"/>
        <item x="35"/>
        <item x="3"/>
        <item x="43"/>
        <item x="2"/>
        <item x="34"/>
        <item x="1"/>
        <item x="0"/>
      </items>
    </pivotField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 defaultSubtotal="0">
      <items count="5">
        <item h="1" x="1"/>
        <item x="3"/>
        <item h="1" x="0"/>
        <item h="1" x="4"/>
        <item h="1" x="2"/>
      </items>
    </pivotField>
    <pivotField compact="0" outline="0" showAll="0" defaultSubtotal="0"/>
  </pivotFields>
  <rowFields count="5">
    <field x="11"/>
    <field x="3"/>
    <field x="5"/>
    <field x="10"/>
    <field x="12"/>
  </rowFields>
  <rowItems count="31">
    <i>
      <x/>
      <x v="167"/>
      <x v="75"/>
      <x v="12"/>
      <x v="1"/>
    </i>
    <i t="default">
      <x/>
    </i>
    <i>
      <x v="1"/>
      <x/>
      <x v="19"/>
      <x v="32"/>
      <x v="1"/>
    </i>
    <i r="1">
      <x v="11"/>
      <x v="16"/>
      <x v="34"/>
      <x v="1"/>
    </i>
    <i r="1">
      <x v="15"/>
      <x v="33"/>
      <x v="28"/>
      <x v="1"/>
    </i>
    <i r="1">
      <x v="26"/>
      <x v="55"/>
      <x v="21"/>
      <x v="1"/>
    </i>
    <i r="1">
      <x v="29"/>
      <x v="40"/>
      <x v="26"/>
      <x v="1"/>
    </i>
    <i r="1">
      <x v="32"/>
      <x v="21"/>
      <x v="32"/>
      <x v="1"/>
    </i>
    <i r="1">
      <x v="33"/>
      <x v="17"/>
      <x v="33"/>
      <x v="1"/>
    </i>
    <i r="1">
      <x v="39"/>
      <x v="27"/>
      <x v="31"/>
      <x v="1"/>
    </i>
    <i r="1">
      <x v="46"/>
      <x v="41"/>
      <x v="25"/>
      <x v="1"/>
    </i>
    <i r="1">
      <x v="60"/>
      <x v="26"/>
      <x v="31"/>
      <x v="1"/>
    </i>
    <i r="1">
      <x v="62"/>
      <x v="13"/>
      <x v="35"/>
      <x v="1"/>
    </i>
    <i r="1">
      <x v="68"/>
      <x v="42"/>
      <x v="25"/>
      <x v="1"/>
    </i>
    <i r="1">
      <x v="75"/>
      <x v="26"/>
      <x v="31"/>
      <x v="1"/>
    </i>
    <i r="1">
      <x v="97"/>
      <x v="32"/>
      <x v="28"/>
      <x v="1"/>
    </i>
    <i r="1">
      <x v="110"/>
      <x v="33"/>
      <x v="28"/>
      <x v="1"/>
    </i>
    <i r="1">
      <x v="119"/>
      <x v="24"/>
      <x v="31"/>
      <x v="1"/>
    </i>
    <i r="1">
      <x v="131"/>
      <x v="29"/>
      <x v="30"/>
      <x v="1"/>
    </i>
    <i r="1">
      <x v="137"/>
      <x v="22"/>
      <x v="31"/>
      <x v="1"/>
    </i>
    <i r="1">
      <x v="141"/>
      <x v="35"/>
      <x v="27"/>
      <x v="1"/>
    </i>
    <i r="1">
      <x v="170"/>
      <x v="23"/>
      <x v="31"/>
      <x v="1"/>
    </i>
    <i r="1">
      <x v="173"/>
      <x v="30"/>
      <x v="29"/>
      <x v="1"/>
    </i>
    <i r="1">
      <x v="181"/>
      <x v="12"/>
      <x v="35"/>
      <x v="1"/>
    </i>
    <i t="default">
      <x v="1"/>
    </i>
    <i>
      <x v="2"/>
      <x v="43"/>
      <x/>
      <x v="43"/>
      <x v="1"/>
    </i>
    <i r="1">
      <x v="108"/>
      <x v="4"/>
      <x v="40"/>
      <x v="1"/>
    </i>
    <i r="1">
      <x v="171"/>
      <x v="5"/>
      <x v="40"/>
      <x v="1"/>
    </i>
    <i r="1">
      <x v="180"/>
      <x v="4"/>
      <x v="40"/>
      <x v="1"/>
    </i>
    <i t="default">
      <x v="2"/>
    </i>
    <i t="grand">
      <x/>
    </i>
  </rowItems>
  <colItems count="1">
    <i/>
  </colItems>
  <dataFields count="1">
    <dataField name="Count" fld="3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702FA-46B9-46F6-99B1-0FB25B3C9A01}" name="PivotTable2" cacheId="21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A3:F69" firstHeaderRow="1" firstDataRow="1" firstDataCol="5"/>
  <pivotFields count="14">
    <pivotField compact="0" outline="0" showAll="0" defaultSubtotal="0"/>
    <pivotField compact="0" outline="0" showAll="0" defaultSubtotal="0"/>
    <pivotField compact="0" outline="0" showAll="0" defaultSubtotal="0"/>
    <pivotField axis="axisRow" dataField="1" compact="0" outline="0" showAll="0" defaultSubtotal="0">
      <items count="186">
        <item x="104"/>
        <item x="0"/>
        <item x="15"/>
        <item x="121"/>
        <item x="16"/>
        <item x="133"/>
        <item x="110"/>
        <item x="54"/>
        <item x="119"/>
        <item x="174"/>
        <item x="21"/>
        <item x="163"/>
        <item x="11"/>
        <item x="78"/>
        <item x="86"/>
        <item x="10"/>
        <item x="181"/>
        <item x="38"/>
        <item x="117"/>
        <item x="2"/>
        <item x="134"/>
        <item x="48"/>
        <item x="68"/>
        <item x="146"/>
        <item x="142"/>
        <item x="20"/>
        <item x="175"/>
        <item x="25"/>
        <item x="127"/>
        <item x="115"/>
        <item x="159"/>
        <item x="182"/>
        <item x="106"/>
        <item x="88"/>
        <item x="31"/>
        <item x="130"/>
        <item x="132"/>
        <item x="98"/>
        <item x="145"/>
        <item x="56"/>
        <item x="161"/>
        <item x="140"/>
        <item x="156"/>
        <item x="39"/>
        <item x="89"/>
        <item x="151"/>
        <item x="116"/>
        <item x="120"/>
        <item x="30"/>
        <item x="94"/>
        <item x="90"/>
        <item x="42"/>
        <item x="58"/>
        <item x="164"/>
        <item x="24"/>
        <item x="35"/>
        <item x="102"/>
        <item x="4"/>
        <item x="36"/>
        <item x="131"/>
        <item x="55"/>
        <item x="171"/>
        <item x="87"/>
        <item x="114"/>
        <item x="144"/>
        <item x="147"/>
        <item x="143"/>
        <item x="168"/>
        <item x="169"/>
        <item x="59"/>
        <item x="40"/>
        <item x="34"/>
        <item x="100"/>
        <item x="128"/>
        <item x="99"/>
        <item x="165"/>
        <item x="12"/>
        <item x="167"/>
        <item x="14"/>
        <item x="101"/>
        <item x="139"/>
        <item x="97"/>
        <item x="157"/>
        <item x="103"/>
        <item x="82"/>
        <item x="183"/>
        <item x="69"/>
        <item x="79"/>
        <item x="32"/>
        <item x="80"/>
        <item x="73"/>
        <item x="74"/>
        <item x="177"/>
        <item x="84"/>
        <item x="138"/>
        <item x="7"/>
        <item x="160"/>
        <item x="111"/>
        <item x="52"/>
        <item x="50"/>
        <item x="77"/>
        <item x="184"/>
        <item x="26"/>
        <item x="105"/>
        <item x="162"/>
        <item x="41"/>
        <item x="185"/>
        <item x="150"/>
        <item x="43"/>
        <item x="123"/>
        <item x="112"/>
        <item x="124"/>
        <item x="37"/>
        <item x="125"/>
        <item x="152"/>
        <item x="57"/>
        <item x="158"/>
        <item x="6"/>
        <item x="29"/>
        <item x="8"/>
        <item x="19"/>
        <item x="28"/>
        <item x="153"/>
        <item x="70"/>
        <item x="85"/>
        <item x="122"/>
        <item x="76"/>
        <item x="63"/>
        <item x="135"/>
        <item x="172"/>
        <item x="173"/>
        <item x="108"/>
        <item x="22"/>
        <item x="60"/>
        <item x="1"/>
        <item x="61"/>
        <item x="154"/>
        <item x="107"/>
        <item x="67"/>
        <item x="5"/>
        <item x="149"/>
        <item x="113"/>
        <item x="96"/>
        <item x="33"/>
        <item x="136"/>
        <item x="179"/>
        <item x="170"/>
        <item x="92"/>
        <item x="126"/>
        <item x="44"/>
        <item x="93"/>
        <item x="13"/>
        <item x="178"/>
        <item x="27"/>
        <item x="148"/>
        <item x="141"/>
        <item x="91"/>
        <item x="180"/>
        <item x="72"/>
        <item x="9"/>
        <item x="176"/>
        <item x="137"/>
        <item x="3"/>
        <item x="17"/>
        <item x="95"/>
        <item x="45"/>
        <item x="51"/>
        <item x="71"/>
        <item x="64"/>
        <item x="155"/>
        <item x="53"/>
        <item x="47"/>
        <item x="65"/>
        <item x="109"/>
        <item x="66"/>
        <item x="129"/>
        <item x="23"/>
        <item x="118"/>
        <item x="18"/>
        <item x="62"/>
        <item x="46"/>
        <item x="49"/>
        <item x="83"/>
        <item x="75"/>
        <item x="81"/>
        <item x="166"/>
      </items>
    </pivotField>
    <pivotField compact="0" outline="0" showAll="0" defaultSubtotal="0"/>
    <pivotField axis="axisRow" compact="0" numFmtId="14" outline="0" showAll="0" defaultSubtotal="0">
      <items count="107">
        <item x="0"/>
        <item x="1"/>
        <item x="30"/>
        <item x="68"/>
        <item x="2"/>
        <item x="31"/>
        <item x="101"/>
        <item x="3"/>
        <item x="32"/>
        <item x="60"/>
        <item x="69"/>
        <item x="70"/>
        <item x="33"/>
        <item x="61"/>
        <item x="4"/>
        <item x="5"/>
        <item x="102"/>
        <item x="62"/>
        <item x="34"/>
        <item x="71"/>
        <item x="35"/>
        <item x="72"/>
        <item x="73"/>
        <item x="36"/>
        <item x="6"/>
        <item x="37"/>
        <item x="38"/>
        <item x="39"/>
        <item x="40"/>
        <item x="74"/>
        <item x="75"/>
        <item x="7"/>
        <item x="41"/>
        <item x="8"/>
        <item x="9"/>
        <item x="76"/>
        <item x="10"/>
        <item x="42"/>
        <item x="43"/>
        <item x="77"/>
        <item x="44"/>
        <item x="78"/>
        <item x="79"/>
        <item x="80"/>
        <item x="81"/>
        <item x="45"/>
        <item x="63"/>
        <item x="64"/>
        <item x="46"/>
        <item x="82"/>
        <item x="83"/>
        <item x="84"/>
        <item x="65"/>
        <item x="103"/>
        <item x="104"/>
        <item x="85"/>
        <item x="47"/>
        <item x="11"/>
        <item x="12"/>
        <item x="13"/>
        <item x="105"/>
        <item x="86"/>
        <item x="87"/>
        <item x="14"/>
        <item x="88"/>
        <item x="15"/>
        <item x="48"/>
        <item x="16"/>
        <item x="106"/>
        <item x="49"/>
        <item x="89"/>
        <item x="17"/>
        <item x="90"/>
        <item x="18"/>
        <item x="19"/>
        <item x="20"/>
        <item x="21"/>
        <item x="50"/>
        <item x="51"/>
        <item x="22"/>
        <item x="23"/>
        <item x="52"/>
        <item x="53"/>
        <item x="54"/>
        <item x="55"/>
        <item x="24"/>
        <item x="56"/>
        <item x="25"/>
        <item x="26"/>
        <item x="66"/>
        <item x="67"/>
        <item x="57"/>
        <item x="91"/>
        <item x="92"/>
        <item x="93"/>
        <item x="94"/>
        <item x="27"/>
        <item x="95"/>
        <item x="96"/>
        <item x="97"/>
        <item x="98"/>
        <item x="58"/>
        <item x="59"/>
        <item x="99"/>
        <item x="28"/>
        <item x="29"/>
        <item x="100"/>
      </items>
    </pivotField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4">
        <item x="24"/>
        <item x="31"/>
        <item x="42"/>
        <item x="23"/>
        <item x="41"/>
        <item x="22"/>
        <item x="21"/>
        <item x="30"/>
        <item x="20"/>
        <item x="19"/>
        <item x="29"/>
        <item x="18"/>
        <item x="17"/>
        <item x="40"/>
        <item x="16"/>
        <item x="15"/>
        <item x="14"/>
        <item x="13"/>
        <item x="12"/>
        <item x="11"/>
        <item x="10"/>
        <item x="39"/>
        <item x="33"/>
        <item x="28"/>
        <item x="27"/>
        <item x="38"/>
        <item x="9"/>
        <item x="8"/>
        <item x="7"/>
        <item x="37"/>
        <item x="26"/>
        <item x="6"/>
        <item x="25"/>
        <item x="32"/>
        <item x="5"/>
        <item x="4"/>
        <item x="36"/>
        <item x="35"/>
        <item x="3"/>
        <item x="43"/>
        <item x="2"/>
        <item x="34"/>
        <item x="1"/>
        <item x="0"/>
      </items>
    </pivotField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 defaultSubtotal="0">
      <items count="5">
        <item h="1" x="1"/>
        <item h="1" x="3"/>
        <item h="1" x="0"/>
        <item h="1" x="4"/>
        <item x="2"/>
      </items>
    </pivotField>
    <pivotField compact="0" outline="0" showAll="0" defaultSubtotal="0"/>
  </pivotFields>
  <rowFields count="5">
    <field x="11"/>
    <field x="3"/>
    <field x="5"/>
    <field x="10"/>
    <field x="12"/>
  </rowFields>
  <rowItems count="66">
    <i>
      <x/>
      <x v="2"/>
      <x v="58"/>
      <x v="19"/>
      <x v="4"/>
    </i>
    <i r="1">
      <x v="4"/>
      <x v="59"/>
      <x v="18"/>
      <x v="4"/>
    </i>
    <i r="1">
      <x v="10"/>
      <x v="71"/>
      <x v="14"/>
      <x v="4"/>
    </i>
    <i r="1">
      <x v="13"/>
      <x v="83"/>
      <x v="8"/>
      <x v="4"/>
    </i>
    <i r="1">
      <x v="20"/>
      <x v="72"/>
      <x v="13"/>
      <x v="4"/>
    </i>
    <i r="1">
      <x v="27"/>
      <x v="75"/>
      <x v="12"/>
      <x v="4"/>
    </i>
    <i r="1">
      <x v="28"/>
      <x v="56"/>
      <x v="20"/>
      <x v="4"/>
    </i>
    <i r="1">
      <x v="31"/>
      <x v="88"/>
      <x v="5"/>
      <x v="4"/>
    </i>
    <i r="1">
      <x v="35"/>
      <x v="64"/>
      <x v="16"/>
      <x v="4"/>
    </i>
    <i r="1">
      <x v="41"/>
      <x v="79"/>
      <x v="9"/>
      <x v="4"/>
    </i>
    <i r="1">
      <x v="54"/>
      <x v="74"/>
      <x v="12"/>
      <x v="4"/>
    </i>
    <i r="1">
      <x v="55"/>
      <x v="96"/>
      <x v="3"/>
      <x v="4"/>
    </i>
    <i r="1">
      <x v="59"/>
      <x v="67"/>
      <x v="15"/>
      <x v="4"/>
    </i>
    <i r="1">
      <x v="73"/>
      <x v="61"/>
      <x v="17"/>
      <x v="4"/>
    </i>
    <i r="1">
      <x v="78"/>
      <x v="57"/>
      <x v="20"/>
      <x v="4"/>
    </i>
    <i r="1">
      <x v="82"/>
      <x v="103"/>
      <x/>
      <x v="4"/>
    </i>
    <i r="1">
      <x v="84"/>
      <x v="91"/>
      <x v="5"/>
      <x v="4"/>
    </i>
    <i r="1">
      <x v="86"/>
      <x v="67"/>
      <x v="15"/>
      <x v="4"/>
    </i>
    <i r="1">
      <x v="90"/>
      <x v="78"/>
      <x v="10"/>
      <x v="4"/>
    </i>
    <i r="1">
      <x v="91"/>
      <x v="81"/>
      <x v="8"/>
      <x v="4"/>
    </i>
    <i r="1">
      <x v="92"/>
      <x v="60"/>
      <x v="18"/>
      <x v="4"/>
    </i>
    <i r="1">
      <x v="94"/>
      <x v="79"/>
      <x v="9"/>
      <x v="4"/>
    </i>
    <i r="1">
      <x v="100"/>
      <x v="82"/>
      <x v="8"/>
      <x v="4"/>
    </i>
    <i r="1">
      <x v="123"/>
      <x v="69"/>
      <x v="15"/>
      <x v="4"/>
    </i>
    <i r="1">
      <x v="126"/>
      <x v="81"/>
      <x v="8"/>
      <x v="4"/>
    </i>
    <i r="1">
      <x v="138"/>
      <x v="66"/>
      <x v="15"/>
      <x v="4"/>
    </i>
    <i r="1">
      <x v="152"/>
      <x v="68"/>
      <x v="15"/>
      <x v="4"/>
    </i>
    <i r="1">
      <x v="155"/>
      <x v="80"/>
      <x v="8"/>
      <x v="4"/>
    </i>
    <i r="1">
      <x v="160"/>
      <x v="56"/>
      <x v="20"/>
      <x v="4"/>
    </i>
    <i r="1">
      <x v="174"/>
      <x v="56"/>
      <x v="20"/>
      <x v="4"/>
    </i>
    <i r="1">
      <x v="175"/>
      <x v="62"/>
      <x v="17"/>
      <x v="4"/>
    </i>
    <i r="1">
      <x v="176"/>
      <x v="73"/>
      <x v="12"/>
      <x v="4"/>
    </i>
    <i r="1">
      <x v="184"/>
      <x v="86"/>
      <x v="6"/>
      <x v="4"/>
    </i>
    <i t="default">
      <x/>
    </i>
    <i>
      <x v="1"/>
      <x v="3"/>
      <x v="48"/>
      <x v="23"/>
      <x v="4"/>
    </i>
    <i r="1">
      <x v="6"/>
      <x v="31"/>
      <x v="28"/>
      <x v="4"/>
    </i>
    <i r="1">
      <x v="7"/>
      <x v="25"/>
      <x v="31"/>
      <x v="4"/>
    </i>
    <i r="1">
      <x v="8"/>
      <x v="44"/>
      <x v="25"/>
      <x v="4"/>
    </i>
    <i r="1">
      <x v="9"/>
      <x v="55"/>
      <x v="21"/>
      <x v="4"/>
    </i>
    <i r="1">
      <x v="18"/>
      <x v="42"/>
      <x v="25"/>
      <x v="4"/>
    </i>
    <i r="1">
      <x v="47"/>
      <x v="46"/>
      <x v="24"/>
      <x v="4"/>
    </i>
    <i r="1">
      <x v="63"/>
      <x v="39"/>
      <x v="26"/>
      <x v="4"/>
    </i>
    <i r="1">
      <x v="67"/>
      <x v="42"/>
      <x v="25"/>
      <x v="4"/>
    </i>
    <i r="1">
      <x v="76"/>
      <x v="36"/>
      <x v="26"/>
      <x v="4"/>
    </i>
    <i r="1">
      <x v="77"/>
      <x v="37"/>
      <x v="26"/>
      <x v="4"/>
    </i>
    <i r="1">
      <x v="95"/>
      <x v="24"/>
      <x v="31"/>
      <x v="4"/>
    </i>
    <i r="1">
      <x v="98"/>
      <x v="23"/>
      <x v="31"/>
      <x v="4"/>
    </i>
    <i r="1">
      <x v="109"/>
      <x v="50"/>
      <x v="22"/>
      <x v="4"/>
    </i>
    <i r="1">
      <x v="111"/>
      <x v="51"/>
      <x v="22"/>
      <x v="4"/>
    </i>
    <i r="1">
      <x v="113"/>
      <x v="55"/>
      <x v="21"/>
      <x v="4"/>
    </i>
    <i r="1">
      <x v="115"/>
      <x v="28"/>
      <x v="30"/>
      <x v="4"/>
    </i>
    <i r="1">
      <x v="127"/>
      <x v="40"/>
      <x v="26"/>
      <x v="4"/>
    </i>
    <i r="1">
      <x v="129"/>
      <x v="53"/>
      <x v="22"/>
      <x v="4"/>
    </i>
    <i r="1">
      <x v="130"/>
      <x v="54"/>
      <x v="21"/>
      <x v="4"/>
    </i>
    <i r="1">
      <x v="146"/>
      <x v="50"/>
      <x v="22"/>
      <x v="4"/>
    </i>
    <i r="1">
      <x v="156"/>
      <x v="48"/>
      <x v="23"/>
      <x v="4"/>
    </i>
    <i r="1">
      <x v="168"/>
      <x v="45"/>
      <x v="24"/>
      <x v="4"/>
    </i>
    <i r="1">
      <x v="177"/>
      <x v="43"/>
      <x v="25"/>
      <x v="4"/>
    </i>
    <i t="default">
      <x v="1"/>
    </i>
    <i>
      <x v="2"/>
      <x v="57"/>
      <x v="7"/>
      <x v="38"/>
      <x v="4"/>
    </i>
    <i r="1">
      <x v="79"/>
      <x v="4"/>
      <x v="40"/>
      <x v="4"/>
    </i>
    <i r="1">
      <x v="105"/>
      <x/>
      <x v="43"/>
      <x v="4"/>
    </i>
    <i r="1">
      <x v="149"/>
      <x v="4"/>
      <x v="40"/>
      <x v="4"/>
    </i>
    <i r="1">
      <x v="165"/>
      <x v="4"/>
      <x v="40"/>
      <x v="4"/>
    </i>
    <i t="default">
      <x v="2"/>
    </i>
    <i t="grand">
      <x/>
    </i>
  </rowItems>
  <colItems count="1">
    <i/>
  </colItems>
  <dataFields count="1">
    <dataField name="Count" fld="3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0BF45-1E15-475E-ABE2-F6CE3FF5B524}" name="PivotTable2" cacheId="21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A3:F79" firstHeaderRow="1" firstDataRow="1" firstDataCol="5"/>
  <pivotFields count="14">
    <pivotField compact="0" outline="0" showAll="0" defaultSubtotal="0"/>
    <pivotField compact="0" outline="0" showAll="0" defaultSubtotal="0"/>
    <pivotField compact="0" outline="0" showAll="0" defaultSubtotal="0"/>
    <pivotField axis="axisRow" dataField="1" compact="0" outline="0" showAll="0" defaultSubtotal="0">
      <items count="186">
        <item x="104"/>
        <item x="0"/>
        <item x="15"/>
        <item x="121"/>
        <item x="16"/>
        <item x="133"/>
        <item x="110"/>
        <item x="54"/>
        <item x="119"/>
        <item x="174"/>
        <item x="21"/>
        <item x="163"/>
        <item x="11"/>
        <item x="78"/>
        <item x="86"/>
        <item x="10"/>
        <item x="181"/>
        <item x="38"/>
        <item x="117"/>
        <item x="2"/>
        <item x="134"/>
        <item x="48"/>
        <item x="68"/>
        <item x="146"/>
        <item x="142"/>
        <item x="20"/>
        <item x="175"/>
        <item x="25"/>
        <item x="127"/>
        <item x="115"/>
        <item x="159"/>
        <item x="182"/>
        <item x="106"/>
        <item x="88"/>
        <item x="31"/>
        <item x="130"/>
        <item x="132"/>
        <item x="98"/>
        <item x="145"/>
        <item x="56"/>
        <item x="161"/>
        <item x="140"/>
        <item x="156"/>
        <item x="39"/>
        <item x="89"/>
        <item x="151"/>
        <item x="116"/>
        <item x="120"/>
        <item x="30"/>
        <item x="94"/>
        <item x="90"/>
        <item x="42"/>
        <item x="58"/>
        <item x="164"/>
        <item x="24"/>
        <item x="35"/>
        <item x="102"/>
        <item x="4"/>
        <item x="36"/>
        <item x="131"/>
        <item x="55"/>
        <item x="171"/>
        <item x="87"/>
        <item x="114"/>
        <item x="144"/>
        <item x="147"/>
        <item x="143"/>
        <item x="168"/>
        <item x="169"/>
        <item x="59"/>
        <item x="40"/>
        <item x="34"/>
        <item x="100"/>
        <item x="128"/>
        <item x="99"/>
        <item x="165"/>
        <item x="12"/>
        <item x="167"/>
        <item x="14"/>
        <item x="101"/>
        <item x="139"/>
        <item x="97"/>
        <item x="157"/>
        <item x="103"/>
        <item x="82"/>
        <item x="183"/>
        <item x="69"/>
        <item x="79"/>
        <item x="32"/>
        <item x="80"/>
        <item x="73"/>
        <item x="74"/>
        <item x="177"/>
        <item x="84"/>
        <item x="138"/>
        <item x="7"/>
        <item x="160"/>
        <item x="111"/>
        <item x="52"/>
        <item x="50"/>
        <item x="77"/>
        <item x="184"/>
        <item x="26"/>
        <item x="105"/>
        <item x="162"/>
        <item x="41"/>
        <item x="185"/>
        <item x="150"/>
        <item x="43"/>
        <item x="123"/>
        <item x="112"/>
        <item x="124"/>
        <item x="37"/>
        <item x="125"/>
        <item x="152"/>
        <item x="57"/>
        <item x="158"/>
        <item x="6"/>
        <item x="29"/>
        <item x="8"/>
        <item x="19"/>
        <item x="28"/>
        <item x="153"/>
        <item x="70"/>
        <item x="85"/>
        <item x="122"/>
        <item x="76"/>
        <item x="63"/>
        <item x="135"/>
        <item x="172"/>
        <item x="173"/>
        <item x="108"/>
        <item x="22"/>
        <item x="60"/>
        <item x="1"/>
        <item x="61"/>
        <item x="154"/>
        <item x="107"/>
        <item x="67"/>
        <item x="5"/>
        <item x="149"/>
        <item x="113"/>
        <item x="96"/>
        <item x="33"/>
        <item x="136"/>
        <item x="179"/>
        <item x="170"/>
        <item x="92"/>
        <item x="126"/>
        <item x="44"/>
        <item x="93"/>
        <item x="13"/>
        <item x="178"/>
        <item x="27"/>
        <item x="148"/>
        <item x="141"/>
        <item x="91"/>
        <item x="180"/>
        <item x="72"/>
        <item x="9"/>
        <item x="176"/>
        <item x="137"/>
        <item x="3"/>
        <item x="17"/>
        <item x="95"/>
        <item x="45"/>
        <item x="51"/>
        <item x="71"/>
        <item x="64"/>
        <item x="155"/>
        <item x="53"/>
        <item x="47"/>
        <item x="65"/>
        <item x="109"/>
        <item x="66"/>
        <item x="129"/>
        <item x="23"/>
        <item x="118"/>
        <item x="18"/>
        <item x="62"/>
        <item x="46"/>
        <item x="49"/>
        <item x="83"/>
        <item x="75"/>
        <item x="81"/>
        <item x="166"/>
      </items>
    </pivotField>
    <pivotField compact="0" outline="0" showAll="0" defaultSubtotal="0"/>
    <pivotField axis="axisRow" compact="0" numFmtId="14" outline="0" showAll="0" defaultSubtotal="0">
      <items count="107">
        <item x="0"/>
        <item x="1"/>
        <item x="30"/>
        <item x="68"/>
        <item x="2"/>
        <item x="31"/>
        <item x="101"/>
        <item x="3"/>
        <item x="32"/>
        <item x="60"/>
        <item x="69"/>
        <item x="70"/>
        <item x="33"/>
        <item x="61"/>
        <item x="4"/>
        <item x="5"/>
        <item x="102"/>
        <item x="62"/>
        <item x="34"/>
        <item x="71"/>
        <item x="35"/>
        <item x="72"/>
        <item x="73"/>
        <item x="36"/>
        <item x="6"/>
        <item x="37"/>
        <item x="38"/>
        <item x="39"/>
        <item x="40"/>
        <item x="74"/>
        <item x="75"/>
        <item x="7"/>
        <item x="41"/>
        <item x="8"/>
        <item x="9"/>
        <item x="76"/>
        <item x="10"/>
        <item x="42"/>
        <item x="43"/>
        <item x="77"/>
        <item x="44"/>
        <item x="78"/>
        <item x="79"/>
        <item x="80"/>
        <item x="81"/>
        <item x="45"/>
        <item x="63"/>
        <item x="64"/>
        <item x="46"/>
        <item x="82"/>
        <item x="83"/>
        <item x="84"/>
        <item x="65"/>
        <item x="103"/>
        <item x="104"/>
        <item x="85"/>
        <item x="47"/>
        <item x="11"/>
        <item x="12"/>
        <item x="13"/>
        <item x="105"/>
        <item x="86"/>
        <item x="87"/>
        <item x="14"/>
        <item x="88"/>
        <item x="15"/>
        <item x="48"/>
        <item x="16"/>
        <item x="106"/>
        <item x="49"/>
        <item x="89"/>
        <item x="17"/>
        <item x="90"/>
        <item x="18"/>
        <item x="19"/>
        <item x="20"/>
        <item x="21"/>
        <item x="50"/>
        <item x="51"/>
        <item x="22"/>
        <item x="23"/>
        <item x="52"/>
        <item x="53"/>
        <item x="54"/>
        <item x="55"/>
        <item x="24"/>
        <item x="56"/>
        <item x="25"/>
        <item x="26"/>
        <item x="66"/>
        <item x="67"/>
        <item x="57"/>
        <item x="91"/>
        <item x="92"/>
        <item x="93"/>
        <item x="94"/>
        <item x="27"/>
        <item x="95"/>
        <item x="96"/>
        <item x="97"/>
        <item x="98"/>
        <item x="58"/>
        <item x="59"/>
        <item x="99"/>
        <item x="28"/>
        <item x="29"/>
        <item x="100"/>
      </items>
    </pivotField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4">
        <item x="24"/>
        <item x="31"/>
        <item x="42"/>
        <item x="23"/>
        <item x="41"/>
        <item x="22"/>
        <item x="21"/>
        <item x="30"/>
        <item x="20"/>
        <item x="19"/>
        <item x="29"/>
        <item x="18"/>
        <item x="17"/>
        <item x="40"/>
        <item x="16"/>
        <item x="15"/>
        <item x="14"/>
        <item x="13"/>
        <item x="12"/>
        <item x="11"/>
        <item x="10"/>
        <item x="39"/>
        <item x="33"/>
        <item x="28"/>
        <item x="27"/>
        <item x="38"/>
        <item x="9"/>
        <item x="8"/>
        <item x="7"/>
        <item x="37"/>
        <item x="26"/>
        <item x="6"/>
        <item x="25"/>
        <item x="32"/>
        <item x="5"/>
        <item x="4"/>
        <item x="36"/>
        <item x="35"/>
        <item x="3"/>
        <item x="43"/>
        <item x="2"/>
        <item x="34"/>
        <item x="1"/>
        <item x="0"/>
      </items>
    </pivotField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 defaultSubtotal="0">
      <items count="5">
        <item h="1" x="1"/>
        <item h="1" x="3"/>
        <item h="1" x="0"/>
        <item x="4"/>
        <item h="1" x="2"/>
      </items>
    </pivotField>
    <pivotField compact="0" outline="0" showAll="0" defaultSubtotal="0"/>
  </pivotFields>
  <rowFields count="5">
    <field x="11"/>
    <field x="3"/>
    <field x="5"/>
    <field x="10"/>
    <field x="12"/>
  </rowFields>
  <rowItems count="76">
    <i>
      <x/>
      <x v="5"/>
      <x v="70"/>
      <x v="14"/>
      <x v="3"/>
    </i>
    <i r="1">
      <x v="16"/>
      <x v="88"/>
      <x v="5"/>
      <x v="3"/>
    </i>
    <i r="1">
      <x v="22"/>
      <x v="67"/>
      <x v="15"/>
      <x v="3"/>
    </i>
    <i r="1">
      <x v="23"/>
      <x v="93"/>
      <x v="3"/>
      <x v="3"/>
    </i>
    <i r="1">
      <x v="24"/>
      <x v="82"/>
      <x v="8"/>
      <x v="3"/>
    </i>
    <i r="1">
      <x v="25"/>
      <x v="67"/>
      <x v="15"/>
      <x v="3"/>
    </i>
    <i r="1">
      <x v="30"/>
      <x v="105"/>
      <x/>
      <x v="3"/>
    </i>
    <i r="1">
      <x v="34"/>
      <x v="85"/>
      <x v="6"/>
      <x v="3"/>
    </i>
    <i r="1">
      <x v="36"/>
      <x v="69"/>
      <x v="15"/>
      <x v="3"/>
    </i>
    <i r="1">
      <x v="37"/>
      <x v="90"/>
      <x v="5"/>
      <x v="3"/>
    </i>
    <i r="1">
      <x v="38"/>
      <x v="92"/>
      <x v="4"/>
      <x v="3"/>
    </i>
    <i r="1">
      <x v="42"/>
      <x v="103"/>
      <x/>
      <x v="3"/>
    </i>
    <i r="1">
      <x v="45"/>
      <x v="98"/>
      <x v="2"/>
      <x v="3"/>
    </i>
    <i r="1">
      <x v="48"/>
      <x v="80"/>
      <x v="8"/>
      <x v="3"/>
    </i>
    <i r="1">
      <x v="49"/>
      <x v="81"/>
      <x v="8"/>
      <x v="3"/>
    </i>
    <i r="1">
      <x v="58"/>
      <x v="104"/>
      <x/>
      <x v="3"/>
    </i>
    <i r="1">
      <x v="64"/>
      <x v="84"/>
      <x v="7"/>
      <x v="3"/>
    </i>
    <i r="1">
      <x v="65"/>
      <x v="94"/>
      <x v="3"/>
      <x v="3"/>
    </i>
    <i r="1">
      <x v="66"/>
      <x v="84"/>
      <x v="7"/>
      <x v="3"/>
    </i>
    <i r="1">
      <x v="71"/>
      <x v="88"/>
      <x v="5"/>
      <x v="3"/>
    </i>
    <i r="1">
      <x v="80"/>
      <x v="79"/>
      <x v="9"/>
      <x v="3"/>
    </i>
    <i r="1">
      <x v="81"/>
      <x v="89"/>
      <x v="5"/>
      <x v="3"/>
    </i>
    <i r="1">
      <x v="85"/>
      <x v="88"/>
      <x v="5"/>
      <x v="3"/>
    </i>
    <i r="1">
      <x v="87"/>
      <x v="84"/>
      <x v="7"/>
      <x v="3"/>
    </i>
    <i r="1">
      <x v="93"/>
      <x v="102"/>
      <x/>
      <x v="3"/>
    </i>
    <i r="1">
      <x v="96"/>
      <x v="106"/>
      <x/>
      <x v="3"/>
    </i>
    <i r="1">
      <x v="101"/>
      <x v="88"/>
      <x v="5"/>
      <x v="3"/>
    </i>
    <i r="1">
      <x v="102"/>
      <x v="76"/>
      <x v="11"/>
      <x v="3"/>
    </i>
    <i r="1">
      <x v="106"/>
      <x v="97"/>
      <x v="2"/>
      <x v="3"/>
    </i>
    <i r="1">
      <x v="107"/>
      <x v="97"/>
      <x v="2"/>
      <x v="3"/>
    </i>
    <i r="1">
      <x v="112"/>
      <x v="105"/>
      <x/>
      <x v="3"/>
    </i>
    <i r="1">
      <x v="114"/>
      <x v="98"/>
      <x v="2"/>
      <x v="3"/>
    </i>
    <i r="1">
      <x v="116"/>
      <x v="103"/>
      <x/>
      <x v="3"/>
    </i>
    <i r="1">
      <x v="118"/>
      <x v="80"/>
      <x v="8"/>
      <x v="3"/>
    </i>
    <i r="1">
      <x v="121"/>
      <x v="79"/>
      <x v="9"/>
      <x v="3"/>
    </i>
    <i r="1">
      <x v="122"/>
      <x v="98"/>
      <x v="2"/>
      <x v="3"/>
    </i>
    <i r="1">
      <x v="124"/>
      <x v="102"/>
      <x/>
      <x v="3"/>
    </i>
    <i r="1">
      <x v="128"/>
      <x v="75"/>
      <x v="12"/>
      <x v="3"/>
    </i>
    <i r="1">
      <x v="136"/>
      <x v="99"/>
      <x v="2"/>
      <x v="3"/>
    </i>
    <i r="1">
      <x v="140"/>
      <x v="97"/>
      <x v="2"/>
      <x v="3"/>
    </i>
    <i r="1">
      <x v="142"/>
      <x v="82"/>
      <x v="8"/>
      <x v="3"/>
    </i>
    <i r="1">
      <x v="143"/>
      <x v="88"/>
      <x v="5"/>
      <x v="3"/>
    </i>
    <i r="1">
      <x v="144"/>
      <x v="75"/>
      <x v="12"/>
      <x v="3"/>
    </i>
    <i r="1">
      <x v="145"/>
      <x v="80"/>
      <x v="8"/>
      <x v="3"/>
    </i>
    <i r="1">
      <x v="150"/>
      <x v="66"/>
      <x v="15"/>
      <x v="3"/>
    </i>
    <i r="1">
      <x v="153"/>
      <x v="79"/>
      <x v="9"/>
      <x v="3"/>
    </i>
    <i r="1">
      <x v="154"/>
      <x v="95"/>
      <x v="3"/>
      <x v="3"/>
    </i>
    <i r="1">
      <x v="157"/>
      <x v="80"/>
      <x v="8"/>
      <x v="3"/>
    </i>
    <i r="1">
      <x v="158"/>
      <x v="77"/>
      <x v="10"/>
      <x v="3"/>
    </i>
    <i r="1">
      <x v="161"/>
      <x v="75"/>
      <x v="12"/>
      <x v="3"/>
    </i>
    <i r="1">
      <x v="164"/>
      <x v="81"/>
      <x v="8"/>
      <x v="3"/>
    </i>
    <i r="1">
      <x v="169"/>
      <x v="100"/>
      <x v="1"/>
      <x v="3"/>
    </i>
    <i r="1">
      <x v="182"/>
      <x v="101"/>
      <x v="1"/>
      <x v="3"/>
    </i>
    <i r="1">
      <x v="183"/>
      <x v="81"/>
      <x v="8"/>
      <x v="3"/>
    </i>
    <i t="default">
      <x/>
    </i>
    <i>
      <x v="1"/>
      <x v="12"/>
      <x v="34"/>
      <x v="27"/>
      <x v="3"/>
    </i>
    <i r="1">
      <x v="44"/>
      <x v="46"/>
      <x v="24"/>
      <x v="3"/>
    </i>
    <i r="1">
      <x v="50"/>
      <x v="47"/>
      <x v="24"/>
      <x v="3"/>
    </i>
    <i r="1">
      <x v="52"/>
      <x v="32"/>
      <x v="28"/>
      <x v="3"/>
    </i>
    <i r="1">
      <x v="69"/>
      <x v="32"/>
      <x v="28"/>
      <x v="3"/>
    </i>
    <i r="1">
      <x v="99"/>
      <x v="18"/>
      <x v="32"/>
      <x v="3"/>
    </i>
    <i r="1">
      <x v="133"/>
      <x v="34"/>
      <x v="27"/>
      <x v="3"/>
    </i>
    <i r="1">
      <x v="135"/>
      <x v="37"/>
      <x v="26"/>
      <x v="3"/>
    </i>
    <i r="1">
      <x v="147"/>
      <x v="52"/>
      <x v="22"/>
      <x v="3"/>
    </i>
    <i r="1">
      <x v="148"/>
      <x v="55"/>
      <x v="21"/>
      <x v="3"/>
    </i>
    <i r="1">
      <x v="151"/>
      <x v="36"/>
      <x v="26"/>
      <x v="3"/>
    </i>
    <i r="1">
      <x v="159"/>
      <x v="31"/>
      <x v="28"/>
      <x v="3"/>
    </i>
    <i r="1">
      <x v="166"/>
      <x v="20"/>
      <x v="32"/>
      <x v="3"/>
    </i>
    <i r="1">
      <x v="172"/>
      <x v="48"/>
      <x v="23"/>
      <x v="3"/>
    </i>
    <i r="1">
      <x v="179"/>
      <x v="38"/>
      <x v="26"/>
      <x v="3"/>
    </i>
    <i r="1">
      <x v="185"/>
      <x v="36"/>
      <x v="26"/>
      <x v="3"/>
    </i>
    <i t="default">
      <x v="1"/>
    </i>
    <i>
      <x v="2"/>
      <x v="14"/>
      <x v="9"/>
      <x v="38"/>
      <x v="3"/>
    </i>
    <i r="1">
      <x v="21"/>
      <x v="8"/>
      <x v="38"/>
      <x v="3"/>
    </i>
    <i t="default">
      <x v="2"/>
    </i>
    <i t="grand">
      <x/>
    </i>
  </rowItems>
  <colItems count="1">
    <i/>
  </colItems>
  <dataFields count="1">
    <dataField name="Count" fld="3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F84BD-676E-40FB-9881-2A6DA880A4E0}" name="Table1" displayName="Table1" ref="A1:M192" totalsRowShown="0" headerRowDxfId="1294" dataDxfId="1292" headerRowBorderDxfId="1293" tableBorderDxfId="1291" totalsRowBorderDxfId="1290">
  <autoFilter ref="A1:M192" xr:uid="{1C8F84BD-676E-40FB-9881-2A6DA880A4E0}">
    <filterColumn colId="12">
      <customFilters>
        <customFilter operator="notEqual" val=" "/>
      </customFilters>
    </filterColumn>
  </autoFilter>
  <tableColumns count="13">
    <tableColumn id="2" xr3:uid="{2CCB827F-F737-42B3-B6AF-0A6D12E1A3B5}" name="REGION" dataDxfId="1289"/>
    <tableColumn id="1" xr3:uid="{0F4320BF-D9F0-4023-BE23-D6140D0AE26B}" name="UNIT NAME" dataDxfId="1288"/>
    <tableColumn id="3" xr3:uid="{E315031C-9DE8-4066-96C8-93A3EEBB948B}" name="STATE" dataDxfId="1287"/>
    <tableColumn id="4" xr3:uid="{0B9A0510-0283-41A9-BF17-A2EC03052A1D}" name="TYPE" dataDxfId="1286"/>
    <tableColumn id="5" xr3:uid="{7C57AC5E-9652-46A1-A543-296C46249CE1}" name="IS STUDENT ASSO" dataDxfId="1285"/>
    <tableColumn id="6" xr3:uid="{92588D66-8201-4FB2-A9B1-C13549412CB9}" name="MEMBER COUNT" dataDxfId="1284"/>
    <tableColumn id="7" xr3:uid="{D34D5846-C6A1-4990-BE46-3FBED8B8A341}" name="STUDENT COUNT" dataDxfId="1283"/>
    <tableColumn id="8" xr3:uid="{1C60FC49-E403-4A38-8B48-8FE51A7FFFCB}" name="OWNED/RENTED" dataDxfId="1282"/>
    <tableColumn id="9" xr3:uid="{519BF446-4440-4F70-9505-775206E4491D}" name="SET UP DATE" dataDxfId="1281"/>
    <tableColumn id="10" xr3:uid="{5624AFDA-EDB8-4CA2-99B3-73FD4A3781E6}" name="Category BRC" dataDxfId="1280"/>
    <tableColumn id="11" xr3:uid="{3CF8D850-A53D-41E4-8A83-E62C8C998D39}" name="Category Range BRC" dataDxfId="1279"/>
    <tableColumn id="12" xr3:uid="{8E15AA2C-8036-4745-B9AA-2718F1DAAB02}" name="CATEGORY OF STUDENT ASSO" dataDxfId="1278"/>
    <tableColumn id="13" xr3:uid="{180411C4-8494-4074-9231-067461528DDC}" name="CATEGORY RANGE BSA" dataDxfId="1277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E38BD0-4756-4C78-9C8A-4521807C696A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B33B-2FC5-4915-B33F-56B9C1F85680}">
  <sheetPr>
    <tabColor rgb="FF92D050"/>
  </sheetPr>
  <dimension ref="A3:H200"/>
  <sheetViews>
    <sheetView tabSelected="1" workbookViewId="0">
      <selection activeCell="A143" sqref="A143"/>
    </sheetView>
  </sheetViews>
  <sheetFormatPr defaultRowHeight="15" x14ac:dyDescent="0.25"/>
  <cols>
    <col min="1" max="1" width="18.28515625" customWidth="1"/>
    <col min="2" max="2" width="28.140625" customWidth="1"/>
    <col min="3" max="3" width="19.5703125" bestFit="1" customWidth="1"/>
    <col min="6" max="6" width="15.5703125" customWidth="1"/>
    <col min="7" max="7" width="16.7109375" customWidth="1"/>
  </cols>
  <sheetData>
    <row r="3" spans="1:8" x14ac:dyDescent="0.25">
      <c r="A3" s="15" t="s">
        <v>658</v>
      </c>
      <c r="B3" s="15" t="s">
        <v>698</v>
      </c>
      <c r="C3" s="15" t="s">
        <v>225</v>
      </c>
      <c r="D3" t="s">
        <v>659</v>
      </c>
      <c r="E3" t="s">
        <v>704</v>
      </c>
      <c r="F3" s="15" t="s">
        <v>658</v>
      </c>
      <c r="G3" s="15" t="s">
        <v>698</v>
      </c>
      <c r="H3" t="s">
        <v>659</v>
      </c>
    </row>
    <row r="4" spans="1:8" x14ac:dyDescent="0.25">
      <c r="A4" t="s">
        <v>648</v>
      </c>
      <c r="B4" t="s">
        <v>649</v>
      </c>
      <c r="C4" t="s">
        <v>9</v>
      </c>
      <c r="D4">
        <v>1</v>
      </c>
      <c r="F4" t="s">
        <v>648</v>
      </c>
      <c r="G4" t="s">
        <v>649</v>
      </c>
      <c r="H4">
        <v>72</v>
      </c>
    </row>
    <row r="5" spans="1:8" x14ac:dyDescent="0.25">
      <c r="C5" t="s">
        <v>184</v>
      </c>
      <c r="D5">
        <v>1</v>
      </c>
      <c r="F5" t="s">
        <v>650</v>
      </c>
      <c r="G5" t="s">
        <v>651</v>
      </c>
      <c r="H5">
        <v>62</v>
      </c>
    </row>
    <row r="6" spans="1:8" x14ac:dyDescent="0.25">
      <c r="C6" t="s">
        <v>78</v>
      </c>
      <c r="D6">
        <v>1</v>
      </c>
      <c r="F6" t="s">
        <v>652</v>
      </c>
      <c r="G6" t="s">
        <v>653</v>
      </c>
      <c r="H6">
        <v>27</v>
      </c>
    </row>
    <row r="7" spans="1:8" x14ac:dyDescent="0.25">
      <c r="C7" t="s">
        <v>118</v>
      </c>
      <c r="D7">
        <v>1</v>
      </c>
      <c r="F7" t="s">
        <v>654</v>
      </c>
      <c r="G7" t="s">
        <v>655</v>
      </c>
      <c r="H7">
        <v>16</v>
      </c>
    </row>
    <row r="8" spans="1:8" x14ac:dyDescent="0.25">
      <c r="C8" t="s">
        <v>131</v>
      </c>
      <c r="D8">
        <v>1</v>
      </c>
      <c r="F8" t="s">
        <v>656</v>
      </c>
      <c r="G8" t="s">
        <v>657</v>
      </c>
      <c r="H8">
        <v>9</v>
      </c>
    </row>
    <row r="9" spans="1:8" x14ac:dyDescent="0.25">
      <c r="C9" t="s">
        <v>132</v>
      </c>
      <c r="D9">
        <v>1</v>
      </c>
      <c r="F9" t="s">
        <v>635</v>
      </c>
      <c r="H9">
        <v>186</v>
      </c>
    </row>
    <row r="10" spans="1:8" x14ac:dyDescent="0.25">
      <c r="C10" t="s">
        <v>61</v>
      </c>
      <c r="D10">
        <v>1</v>
      </c>
    </row>
    <row r="11" spans="1:8" x14ac:dyDescent="0.25">
      <c r="C11" t="s">
        <v>15</v>
      </c>
      <c r="D11">
        <v>1</v>
      </c>
    </row>
    <row r="12" spans="1:8" x14ac:dyDescent="0.25">
      <c r="C12" t="s">
        <v>187</v>
      </c>
      <c r="D12">
        <v>1</v>
      </c>
    </row>
    <row r="13" spans="1:8" x14ac:dyDescent="0.25">
      <c r="C13" t="s">
        <v>74</v>
      </c>
      <c r="D13">
        <v>1</v>
      </c>
    </row>
    <row r="14" spans="1:8" x14ac:dyDescent="0.25">
      <c r="C14" t="s">
        <v>212</v>
      </c>
      <c r="D14">
        <v>1</v>
      </c>
    </row>
    <row r="15" spans="1:8" x14ac:dyDescent="0.25">
      <c r="C15" t="s">
        <v>22</v>
      </c>
      <c r="D15">
        <v>1</v>
      </c>
    </row>
    <row r="16" spans="1:8" x14ac:dyDescent="0.25">
      <c r="C16" t="s">
        <v>92</v>
      </c>
      <c r="D16">
        <v>1</v>
      </c>
    </row>
    <row r="17" spans="3:4" x14ac:dyDescent="0.25">
      <c r="C17" t="s">
        <v>60</v>
      </c>
      <c r="D17">
        <v>1</v>
      </c>
    </row>
    <row r="18" spans="3:4" x14ac:dyDescent="0.25">
      <c r="C18" t="s">
        <v>73</v>
      </c>
      <c r="D18">
        <v>1</v>
      </c>
    </row>
    <row r="19" spans="3:4" x14ac:dyDescent="0.25">
      <c r="C19" t="s">
        <v>81</v>
      </c>
      <c r="D19">
        <v>1</v>
      </c>
    </row>
    <row r="20" spans="3:4" x14ac:dyDescent="0.25">
      <c r="C20" t="s">
        <v>66</v>
      </c>
      <c r="D20">
        <v>1</v>
      </c>
    </row>
    <row r="21" spans="3:4" x14ac:dyDescent="0.25">
      <c r="C21" t="s">
        <v>189</v>
      </c>
      <c r="D21">
        <v>1</v>
      </c>
    </row>
    <row r="22" spans="3:4" x14ac:dyDescent="0.25">
      <c r="C22" t="s">
        <v>82</v>
      </c>
      <c r="D22">
        <v>1</v>
      </c>
    </row>
    <row r="23" spans="3:4" x14ac:dyDescent="0.25">
      <c r="C23" t="s">
        <v>84</v>
      </c>
      <c r="D23">
        <v>1</v>
      </c>
    </row>
    <row r="24" spans="3:4" x14ac:dyDescent="0.25">
      <c r="C24" t="s">
        <v>136</v>
      </c>
      <c r="D24">
        <v>1</v>
      </c>
    </row>
    <row r="25" spans="3:4" x14ac:dyDescent="0.25">
      <c r="C25" t="s">
        <v>216</v>
      </c>
      <c r="D25">
        <v>1</v>
      </c>
    </row>
    <row r="26" spans="3:4" x14ac:dyDescent="0.25">
      <c r="C26" t="s">
        <v>59</v>
      </c>
      <c r="D26">
        <v>1</v>
      </c>
    </row>
    <row r="27" spans="3:4" x14ac:dyDescent="0.25">
      <c r="C27" t="s">
        <v>62</v>
      </c>
      <c r="D27">
        <v>1</v>
      </c>
    </row>
    <row r="28" spans="3:4" x14ac:dyDescent="0.25">
      <c r="C28" t="s">
        <v>58</v>
      </c>
      <c r="D28">
        <v>1</v>
      </c>
    </row>
    <row r="29" spans="3:4" x14ac:dyDescent="0.25">
      <c r="C29" t="s">
        <v>138</v>
      </c>
      <c r="D29">
        <v>1</v>
      </c>
    </row>
    <row r="30" spans="3:4" x14ac:dyDescent="0.25">
      <c r="C30" t="s">
        <v>214</v>
      </c>
      <c r="D30">
        <v>1</v>
      </c>
    </row>
    <row r="31" spans="3:4" x14ac:dyDescent="0.25">
      <c r="C31" t="s">
        <v>36</v>
      </c>
      <c r="D31">
        <v>1</v>
      </c>
    </row>
    <row r="32" spans="3:4" x14ac:dyDescent="0.25">
      <c r="C32" t="s">
        <v>91</v>
      </c>
      <c r="D32">
        <v>1</v>
      </c>
    </row>
    <row r="33" spans="3:4" x14ac:dyDescent="0.25">
      <c r="C33" t="s">
        <v>120</v>
      </c>
      <c r="D33">
        <v>1</v>
      </c>
    </row>
    <row r="34" spans="3:4" x14ac:dyDescent="0.25">
      <c r="C34" t="s">
        <v>171</v>
      </c>
      <c r="D34">
        <v>1</v>
      </c>
    </row>
    <row r="35" spans="3:4" x14ac:dyDescent="0.25">
      <c r="C35" t="s">
        <v>175</v>
      </c>
      <c r="D35">
        <v>1</v>
      </c>
    </row>
    <row r="36" spans="3:4" x14ac:dyDescent="0.25">
      <c r="C36" t="s">
        <v>75</v>
      </c>
      <c r="D36">
        <v>1</v>
      </c>
    </row>
    <row r="37" spans="3:4" x14ac:dyDescent="0.25">
      <c r="C37" t="s">
        <v>145</v>
      </c>
      <c r="D37">
        <v>1</v>
      </c>
    </row>
    <row r="38" spans="3:4" x14ac:dyDescent="0.25">
      <c r="C38" t="s">
        <v>121</v>
      </c>
      <c r="D38">
        <v>1</v>
      </c>
    </row>
    <row r="39" spans="3:4" x14ac:dyDescent="0.25">
      <c r="C39" t="s">
        <v>195</v>
      </c>
      <c r="D39">
        <v>1</v>
      </c>
    </row>
    <row r="40" spans="3:4" x14ac:dyDescent="0.25">
      <c r="C40" t="s">
        <v>122</v>
      </c>
      <c r="D40">
        <v>1</v>
      </c>
    </row>
    <row r="41" spans="3:4" x14ac:dyDescent="0.25">
      <c r="C41" t="s">
        <v>64</v>
      </c>
      <c r="D41">
        <v>1</v>
      </c>
    </row>
    <row r="42" spans="3:4" x14ac:dyDescent="0.25">
      <c r="C42" t="s">
        <v>217</v>
      </c>
      <c r="D42">
        <v>1</v>
      </c>
    </row>
    <row r="43" spans="3:4" x14ac:dyDescent="0.25">
      <c r="C43" t="s">
        <v>68</v>
      </c>
      <c r="D43">
        <v>1</v>
      </c>
    </row>
    <row r="44" spans="3:4" x14ac:dyDescent="0.25">
      <c r="C44" t="s">
        <v>71</v>
      </c>
      <c r="D44">
        <v>1</v>
      </c>
    </row>
    <row r="45" spans="3:4" x14ac:dyDescent="0.25">
      <c r="C45" t="s">
        <v>197</v>
      </c>
      <c r="D45">
        <v>1</v>
      </c>
    </row>
    <row r="46" spans="3:4" x14ac:dyDescent="0.25">
      <c r="C46" t="s">
        <v>200</v>
      </c>
      <c r="D46">
        <v>1</v>
      </c>
    </row>
    <row r="47" spans="3:4" x14ac:dyDescent="0.25">
      <c r="C47" t="s">
        <v>67</v>
      </c>
      <c r="D47">
        <v>1</v>
      </c>
    </row>
    <row r="48" spans="3:4" x14ac:dyDescent="0.25">
      <c r="C48" t="s">
        <v>176</v>
      </c>
      <c r="D48">
        <v>1</v>
      </c>
    </row>
    <row r="49" spans="3:4" x14ac:dyDescent="0.25">
      <c r="C49" t="s">
        <v>46</v>
      </c>
      <c r="D49">
        <v>1</v>
      </c>
    </row>
    <row r="50" spans="3:4" x14ac:dyDescent="0.25">
      <c r="C50" t="s">
        <v>153</v>
      </c>
      <c r="D50">
        <v>1</v>
      </c>
    </row>
    <row r="51" spans="3:4" x14ac:dyDescent="0.25">
      <c r="C51" t="s">
        <v>154</v>
      </c>
      <c r="D51">
        <v>1</v>
      </c>
    </row>
    <row r="52" spans="3:4" x14ac:dyDescent="0.25">
      <c r="C52" t="s">
        <v>69</v>
      </c>
      <c r="D52">
        <v>1</v>
      </c>
    </row>
    <row r="53" spans="3:4" x14ac:dyDescent="0.25">
      <c r="C53" t="s">
        <v>65</v>
      </c>
      <c r="D53">
        <v>1</v>
      </c>
    </row>
    <row r="54" spans="3:4" x14ac:dyDescent="0.25">
      <c r="C54" t="s">
        <v>86</v>
      </c>
      <c r="D54">
        <v>1</v>
      </c>
    </row>
    <row r="55" spans="3:4" x14ac:dyDescent="0.25">
      <c r="C55" t="s">
        <v>51</v>
      </c>
      <c r="D55">
        <v>1</v>
      </c>
    </row>
    <row r="56" spans="3:4" x14ac:dyDescent="0.25">
      <c r="C56" t="s">
        <v>204</v>
      </c>
      <c r="D56">
        <v>1</v>
      </c>
    </row>
    <row r="57" spans="3:4" x14ac:dyDescent="0.25">
      <c r="C57" t="s">
        <v>117</v>
      </c>
      <c r="D57">
        <v>1</v>
      </c>
    </row>
    <row r="58" spans="3:4" x14ac:dyDescent="0.25">
      <c r="C58" t="s">
        <v>87</v>
      </c>
      <c r="D58">
        <v>1</v>
      </c>
    </row>
    <row r="59" spans="3:4" x14ac:dyDescent="0.25">
      <c r="C59" t="s">
        <v>52</v>
      </c>
      <c r="D59">
        <v>1</v>
      </c>
    </row>
    <row r="60" spans="3:4" x14ac:dyDescent="0.25">
      <c r="C60" t="s">
        <v>88</v>
      </c>
      <c r="D60">
        <v>1</v>
      </c>
    </row>
    <row r="61" spans="3:4" x14ac:dyDescent="0.25">
      <c r="C61" t="s">
        <v>205</v>
      </c>
      <c r="D61">
        <v>1</v>
      </c>
    </row>
    <row r="62" spans="3:4" x14ac:dyDescent="0.25">
      <c r="C62" t="s">
        <v>206</v>
      </c>
      <c r="D62">
        <v>1</v>
      </c>
    </row>
    <row r="63" spans="3:4" x14ac:dyDescent="0.25">
      <c r="C63" t="s">
        <v>63</v>
      </c>
      <c r="D63">
        <v>1</v>
      </c>
    </row>
    <row r="64" spans="3:4" x14ac:dyDescent="0.25">
      <c r="C64" t="s">
        <v>116</v>
      </c>
      <c r="D64">
        <v>1</v>
      </c>
    </row>
    <row r="65" spans="1:4" x14ac:dyDescent="0.25">
      <c r="C65" t="s">
        <v>157</v>
      </c>
      <c r="D65">
        <v>1</v>
      </c>
    </row>
    <row r="66" spans="1:4" x14ac:dyDescent="0.25">
      <c r="C66" t="s">
        <v>207</v>
      </c>
      <c r="D66">
        <v>1</v>
      </c>
    </row>
    <row r="67" spans="1:4" x14ac:dyDescent="0.25">
      <c r="C67" t="s">
        <v>54</v>
      </c>
      <c r="D67">
        <v>1</v>
      </c>
    </row>
    <row r="68" spans="1:4" x14ac:dyDescent="0.25">
      <c r="C68" t="s">
        <v>90</v>
      </c>
      <c r="D68">
        <v>1</v>
      </c>
    </row>
    <row r="69" spans="1:4" x14ac:dyDescent="0.25">
      <c r="C69" t="s">
        <v>158</v>
      </c>
      <c r="D69">
        <v>1</v>
      </c>
    </row>
    <row r="70" spans="1:4" x14ac:dyDescent="0.25">
      <c r="C70" t="s">
        <v>70</v>
      </c>
      <c r="D70">
        <v>1</v>
      </c>
    </row>
    <row r="71" spans="1:4" x14ac:dyDescent="0.25">
      <c r="C71" t="s">
        <v>164</v>
      </c>
      <c r="D71">
        <v>1</v>
      </c>
    </row>
    <row r="72" spans="1:4" x14ac:dyDescent="0.25">
      <c r="C72" t="s">
        <v>166</v>
      </c>
      <c r="D72">
        <v>1</v>
      </c>
    </row>
    <row r="73" spans="1:4" x14ac:dyDescent="0.25">
      <c r="C73" t="s">
        <v>174</v>
      </c>
      <c r="D73">
        <v>1</v>
      </c>
    </row>
    <row r="74" spans="1:4" x14ac:dyDescent="0.25">
      <c r="C74" t="s">
        <v>169</v>
      </c>
      <c r="D74">
        <v>1</v>
      </c>
    </row>
    <row r="75" spans="1:4" x14ac:dyDescent="0.25">
      <c r="C75" t="s">
        <v>108</v>
      </c>
      <c r="D75">
        <v>1</v>
      </c>
    </row>
    <row r="76" spans="1:4" x14ac:dyDescent="0.25">
      <c r="B76" t="s">
        <v>699</v>
      </c>
      <c r="D76">
        <v>72</v>
      </c>
    </row>
    <row r="77" spans="1:4" x14ac:dyDescent="0.25">
      <c r="A77" t="s">
        <v>663</v>
      </c>
      <c r="D77">
        <v>72</v>
      </c>
    </row>
    <row r="78" spans="1:4" x14ac:dyDescent="0.25">
      <c r="A78" t="s">
        <v>650</v>
      </c>
      <c r="B78" t="s">
        <v>651</v>
      </c>
      <c r="C78" t="s">
        <v>181</v>
      </c>
      <c r="D78">
        <v>1</v>
      </c>
    </row>
    <row r="79" spans="1:4" x14ac:dyDescent="0.25">
      <c r="C79" t="s">
        <v>7</v>
      </c>
      <c r="D79">
        <v>1</v>
      </c>
    </row>
    <row r="80" spans="1:4" x14ac:dyDescent="0.25">
      <c r="C80" t="s">
        <v>182</v>
      </c>
      <c r="D80">
        <v>1</v>
      </c>
    </row>
    <row r="81" spans="3:4" x14ac:dyDescent="0.25">
      <c r="C81" t="s">
        <v>11</v>
      </c>
      <c r="D81">
        <v>1</v>
      </c>
    </row>
    <row r="82" spans="3:4" x14ac:dyDescent="0.25">
      <c r="C82" t="s">
        <v>125</v>
      </c>
      <c r="D82">
        <v>1</v>
      </c>
    </row>
    <row r="83" spans="3:4" x14ac:dyDescent="0.25">
      <c r="C83" t="s">
        <v>12</v>
      </c>
      <c r="D83">
        <v>1</v>
      </c>
    </row>
    <row r="84" spans="3:4" x14ac:dyDescent="0.25">
      <c r="C84" t="s">
        <v>112</v>
      </c>
      <c r="D84">
        <v>1</v>
      </c>
    </row>
    <row r="85" spans="3:4" x14ac:dyDescent="0.25">
      <c r="C85" t="s">
        <v>183</v>
      </c>
      <c r="D85">
        <v>1</v>
      </c>
    </row>
    <row r="86" spans="3:4" x14ac:dyDescent="0.25">
      <c r="C86" t="s">
        <v>127</v>
      </c>
      <c r="D86">
        <v>1</v>
      </c>
    </row>
    <row r="87" spans="3:4" x14ac:dyDescent="0.25">
      <c r="C87" t="s">
        <v>13</v>
      </c>
      <c r="D87">
        <v>1</v>
      </c>
    </row>
    <row r="88" spans="3:4" x14ac:dyDescent="0.25">
      <c r="C88" t="s">
        <v>14</v>
      </c>
      <c r="D88">
        <v>1</v>
      </c>
    </row>
    <row r="89" spans="3:4" x14ac:dyDescent="0.25">
      <c r="C89" t="s">
        <v>188</v>
      </c>
      <c r="D89">
        <v>1</v>
      </c>
    </row>
    <row r="90" spans="3:4" x14ac:dyDescent="0.25">
      <c r="C90" t="s">
        <v>16</v>
      </c>
      <c r="D90">
        <v>1</v>
      </c>
    </row>
    <row r="91" spans="3:4" x14ac:dyDescent="0.25">
      <c r="C91" t="s">
        <v>119</v>
      </c>
      <c r="D91">
        <v>1</v>
      </c>
    </row>
    <row r="92" spans="3:4" x14ac:dyDescent="0.25">
      <c r="C92" t="s">
        <v>21</v>
      </c>
      <c r="D92">
        <v>1</v>
      </c>
    </row>
    <row r="93" spans="3:4" x14ac:dyDescent="0.25">
      <c r="C93" t="s">
        <v>23</v>
      </c>
      <c r="D93">
        <v>1</v>
      </c>
    </row>
    <row r="94" spans="3:4" x14ac:dyDescent="0.25">
      <c r="C94" t="s">
        <v>27</v>
      </c>
      <c r="D94">
        <v>1</v>
      </c>
    </row>
    <row r="95" spans="3:4" x14ac:dyDescent="0.25">
      <c r="C95" t="s">
        <v>190</v>
      </c>
      <c r="D95">
        <v>1</v>
      </c>
    </row>
    <row r="96" spans="3:4" x14ac:dyDescent="0.25">
      <c r="C96" t="s">
        <v>215</v>
      </c>
      <c r="D96">
        <v>1</v>
      </c>
    </row>
    <row r="97" spans="3:4" x14ac:dyDescent="0.25">
      <c r="C97" t="s">
        <v>191</v>
      </c>
      <c r="D97">
        <v>1</v>
      </c>
    </row>
    <row r="98" spans="3:4" x14ac:dyDescent="0.25">
      <c r="C98" t="s">
        <v>30</v>
      </c>
      <c r="D98">
        <v>1</v>
      </c>
    </row>
    <row r="99" spans="3:4" x14ac:dyDescent="0.25">
      <c r="C99" t="s">
        <v>31</v>
      </c>
      <c r="D99">
        <v>1</v>
      </c>
    </row>
    <row r="100" spans="3:4" x14ac:dyDescent="0.25">
      <c r="C100" t="s">
        <v>33</v>
      </c>
      <c r="D100">
        <v>1</v>
      </c>
    </row>
    <row r="101" spans="3:4" x14ac:dyDescent="0.25">
      <c r="C101" t="s">
        <v>192</v>
      </c>
      <c r="D101">
        <v>1</v>
      </c>
    </row>
    <row r="102" spans="3:4" x14ac:dyDescent="0.25">
      <c r="C102" t="s">
        <v>102</v>
      </c>
      <c r="D102">
        <v>1</v>
      </c>
    </row>
    <row r="103" spans="3:4" x14ac:dyDescent="0.25">
      <c r="C103" t="s">
        <v>193</v>
      </c>
      <c r="D103">
        <v>1</v>
      </c>
    </row>
    <row r="104" spans="3:4" x14ac:dyDescent="0.25">
      <c r="C104" t="s">
        <v>35</v>
      </c>
      <c r="D104">
        <v>1</v>
      </c>
    </row>
    <row r="105" spans="3:4" x14ac:dyDescent="0.25">
      <c r="C105" t="s">
        <v>72</v>
      </c>
      <c r="D105">
        <v>1</v>
      </c>
    </row>
    <row r="106" spans="3:4" x14ac:dyDescent="0.25">
      <c r="C106" t="s">
        <v>173</v>
      </c>
      <c r="D106">
        <v>1</v>
      </c>
    </row>
    <row r="107" spans="3:4" x14ac:dyDescent="0.25">
      <c r="C107" t="s">
        <v>141</v>
      </c>
      <c r="D107">
        <v>1</v>
      </c>
    </row>
    <row r="108" spans="3:4" x14ac:dyDescent="0.25">
      <c r="C108" t="s">
        <v>142</v>
      </c>
      <c r="D108">
        <v>1</v>
      </c>
    </row>
    <row r="109" spans="3:4" x14ac:dyDescent="0.25">
      <c r="C109" t="s">
        <v>143</v>
      </c>
      <c r="D109">
        <v>1</v>
      </c>
    </row>
    <row r="110" spans="3:4" x14ac:dyDescent="0.25">
      <c r="C110" t="s">
        <v>107</v>
      </c>
      <c r="D110">
        <v>1</v>
      </c>
    </row>
    <row r="111" spans="3:4" x14ac:dyDescent="0.25">
      <c r="C111" t="s">
        <v>38</v>
      </c>
      <c r="D111">
        <v>1</v>
      </c>
    </row>
    <row r="112" spans="3:4" x14ac:dyDescent="0.25">
      <c r="C112" t="s">
        <v>194</v>
      </c>
      <c r="D112">
        <v>1</v>
      </c>
    </row>
    <row r="113" spans="3:4" x14ac:dyDescent="0.25">
      <c r="C113" t="s">
        <v>144</v>
      </c>
      <c r="D113">
        <v>1</v>
      </c>
    </row>
    <row r="114" spans="3:4" x14ac:dyDescent="0.25">
      <c r="C114" t="s">
        <v>146</v>
      </c>
      <c r="D114">
        <v>1</v>
      </c>
    </row>
    <row r="115" spans="3:4" x14ac:dyDescent="0.25">
      <c r="C115" t="s">
        <v>147</v>
      </c>
      <c r="D115">
        <v>1</v>
      </c>
    </row>
    <row r="116" spans="3:4" x14ac:dyDescent="0.25">
      <c r="C116" t="s">
        <v>41</v>
      </c>
      <c r="D116">
        <v>1</v>
      </c>
    </row>
    <row r="117" spans="3:4" x14ac:dyDescent="0.25">
      <c r="C117" t="s">
        <v>43</v>
      </c>
      <c r="D117">
        <v>1</v>
      </c>
    </row>
    <row r="118" spans="3:4" x14ac:dyDescent="0.25">
      <c r="C118" t="s">
        <v>44</v>
      </c>
      <c r="D118">
        <v>1</v>
      </c>
    </row>
    <row r="119" spans="3:4" x14ac:dyDescent="0.25">
      <c r="C119" t="s">
        <v>149</v>
      </c>
      <c r="D119">
        <v>1</v>
      </c>
    </row>
    <row r="120" spans="3:4" x14ac:dyDescent="0.25">
      <c r="C120" t="s">
        <v>150</v>
      </c>
      <c r="D120">
        <v>1</v>
      </c>
    </row>
    <row r="121" spans="3:4" x14ac:dyDescent="0.25">
      <c r="C121" t="s">
        <v>151</v>
      </c>
      <c r="D121">
        <v>1</v>
      </c>
    </row>
    <row r="122" spans="3:4" x14ac:dyDescent="0.25">
      <c r="C122" t="s">
        <v>152</v>
      </c>
      <c r="D122">
        <v>1</v>
      </c>
    </row>
    <row r="123" spans="3:4" x14ac:dyDescent="0.25">
      <c r="C123" t="s">
        <v>110</v>
      </c>
      <c r="D123">
        <v>1</v>
      </c>
    </row>
    <row r="124" spans="3:4" x14ac:dyDescent="0.25">
      <c r="C124" t="s">
        <v>111</v>
      </c>
      <c r="D124">
        <v>1</v>
      </c>
    </row>
    <row r="125" spans="3:4" x14ac:dyDescent="0.25">
      <c r="C125" t="s">
        <v>155</v>
      </c>
      <c r="D125">
        <v>1</v>
      </c>
    </row>
    <row r="126" spans="3:4" x14ac:dyDescent="0.25">
      <c r="C126" t="s">
        <v>104</v>
      </c>
      <c r="D126">
        <v>1</v>
      </c>
    </row>
    <row r="127" spans="3:4" x14ac:dyDescent="0.25">
      <c r="C127" t="s">
        <v>156</v>
      </c>
      <c r="D127">
        <v>1</v>
      </c>
    </row>
    <row r="128" spans="3:4" x14ac:dyDescent="0.25">
      <c r="C128" t="s">
        <v>113</v>
      </c>
      <c r="D128">
        <v>1</v>
      </c>
    </row>
    <row r="129" spans="1:4" x14ac:dyDescent="0.25">
      <c r="C129" t="s">
        <v>105</v>
      </c>
      <c r="D129">
        <v>1</v>
      </c>
    </row>
    <row r="130" spans="1:4" x14ac:dyDescent="0.25">
      <c r="C130" t="s">
        <v>53</v>
      </c>
      <c r="D130">
        <v>1</v>
      </c>
    </row>
    <row r="131" spans="1:4" x14ac:dyDescent="0.25">
      <c r="C131" t="s">
        <v>89</v>
      </c>
      <c r="D131">
        <v>1</v>
      </c>
    </row>
    <row r="132" spans="1:4" x14ac:dyDescent="0.25">
      <c r="C132" t="s">
        <v>114</v>
      </c>
      <c r="D132">
        <v>1</v>
      </c>
    </row>
    <row r="133" spans="1:4" x14ac:dyDescent="0.25">
      <c r="C133" t="s">
        <v>161</v>
      </c>
      <c r="D133">
        <v>1</v>
      </c>
    </row>
    <row r="134" spans="1:4" x14ac:dyDescent="0.25">
      <c r="C134" t="s">
        <v>162</v>
      </c>
      <c r="D134">
        <v>1</v>
      </c>
    </row>
    <row r="135" spans="1:4" x14ac:dyDescent="0.25">
      <c r="C135" t="s">
        <v>165</v>
      </c>
      <c r="D135">
        <v>1</v>
      </c>
    </row>
    <row r="136" spans="1:4" x14ac:dyDescent="0.25">
      <c r="C136" t="s">
        <v>56</v>
      </c>
      <c r="D136">
        <v>1</v>
      </c>
    </row>
    <row r="137" spans="1:4" x14ac:dyDescent="0.25">
      <c r="C137" t="s">
        <v>210</v>
      </c>
      <c r="D137">
        <v>1</v>
      </c>
    </row>
    <row r="138" spans="1:4" x14ac:dyDescent="0.25">
      <c r="C138" t="s">
        <v>57</v>
      </c>
      <c r="D138">
        <v>1</v>
      </c>
    </row>
    <row r="139" spans="1:4" x14ac:dyDescent="0.25">
      <c r="C139" t="s">
        <v>170</v>
      </c>
      <c r="D139">
        <v>1</v>
      </c>
    </row>
    <row r="140" spans="1:4" x14ac:dyDescent="0.25">
      <c r="B140" t="s">
        <v>703</v>
      </c>
      <c r="D140">
        <v>62</v>
      </c>
    </row>
    <row r="141" spans="1:4" x14ac:dyDescent="0.25">
      <c r="A141" t="s">
        <v>664</v>
      </c>
      <c r="D141">
        <v>62</v>
      </c>
    </row>
    <row r="142" spans="1:4" x14ac:dyDescent="0.25">
      <c r="A142" t="s">
        <v>652</v>
      </c>
      <c r="B142" t="s">
        <v>653</v>
      </c>
      <c r="C142" t="s">
        <v>5</v>
      </c>
      <c r="D142">
        <v>1</v>
      </c>
    </row>
    <row r="143" spans="1:4" x14ac:dyDescent="0.25">
      <c r="C143" t="s">
        <v>95</v>
      </c>
      <c r="D143">
        <v>1</v>
      </c>
    </row>
    <row r="144" spans="1:4" x14ac:dyDescent="0.25">
      <c r="C144" t="s">
        <v>185</v>
      </c>
      <c r="D144">
        <v>1</v>
      </c>
    </row>
    <row r="145" spans="3:4" x14ac:dyDescent="0.25">
      <c r="C145" t="s">
        <v>115</v>
      </c>
      <c r="D145">
        <v>1</v>
      </c>
    </row>
    <row r="146" spans="3:4" x14ac:dyDescent="0.25">
      <c r="C146" t="s">
        <v>18</v>
      </c>
      <c r="D146">
        <v>1</v>
      </c>
    </row>
    <row r="147" spans="3:4" x14ac:dyDescent="0.25">
      <c r="C147" t="s">
        <v>19</v>
      </c>
      <c r="D147">
        <v>1</v>
      </c>
    </row>
    <row r="148" spans="3:4" x14ac:dyDescent="0.25">
      <c r="C148" t="s">
        <v>79</v>
      </c>
      <c r="D148">
        <v>1</v>
      </c>
    </row>
    <row r="149" spans="3:4" x14ac:dyDescent="0.25">
      <c r="C149" t="s">
        <v>133</v>
      </c>
      <c r="D149">
        <v>1</v>
      </c>
    </row>
    <row r="150" spans="3:4" x14ac:dyDescent="0.25">
      <c r="C150" t="s">
        <v>134</v>
      </c>
      <c r="D150">
        <v>1</v>
      </c>
    </row>
    <row r="151" spans="3:4" x14ac:dyDescent="0.25">
      <c r="C151" t="s">
        <v>24</v>
      </c>
      <c r="D151">
        <v>1</v>
      </c>
    </row>
    <row r="152" spans="3:4" x14ac:dyDescent="0.25">
      <c r="C152" t="s">
        <v>137</v>
      </c>
      <c r="D152">
        <v>1</v>
      </c>
    </row>
    <row r="153" spans="3:4" x14ac:dyDescent="0.25">
      <c r="C153" t="s">
        <v>85</v>
      </c>
      <c r="D153">
        <v>1</v>
      </c>
    </row>
    <row r="154" spans="3:4" x14ac:dyDescent="0.25">
      <c r="C154" t="s">
        <v>100</v>
      </c>
      <c r="D154">
        <v>1</v>
      </c>
    </row>
    <row r="155" spans="3:4" x14ac:dyDescent="0.25">
      <c r="C155" t="s">
        <v>101</v>
      </c>
      <c r="D155">
        <v>1</v>
      </c>
    </row>
    <row r="156" spans="3:4" x14ac:dyDescent="0.25">
      <c r="C156" t="s">
        <v>39</v>
      </c>
      <c r="D156">
        <v>1</v>
      </c>
    </row>
    <row r="157" spans="3:4" x14ac:dyDescent="0.25">
      <c r="C157" t="s">
        <v>148</v>
      </c>
      <c r="D157">
        <v>1</v>
      </c>
    </row>
    <row r="158" spans="3:4" x14ac:dyDescent="0.25">
      <c r="C158" t="s">
        <v>42</v>
      </c>
      <c r="D158">
        <v>1</v>
      </c>
    </row>
    <row r="159" spans="3:4" x14ac:dyDescent="0.25">
      <c r="C159" t="s">
        <v>198</v>
      </c>
      <c r="D159">
        <v>1</v>
      </c>
    </row>
    <row r="160" spans="3:4" x14ac:dyDescent="0.25">
      <c r="C160" t="s">
        <v>47</v>
      </c>
      <c r="D160">
        <v>1</v>
      </c>
    </row>
    <row r="161" spans="1:4" x14ac:dyDescent="0.25">
      <c r="C161" t="s">
        <v>49</v>
      </c>
      <c r="D161">
        <v>1</v>
      </c>
    </row>
    <row r="162" spans="1:4" x14ac:dyDescent="0.25">
      <c r="C162" t="s">
        <v>50</v>
      </c>
      <c r="D162">
        <v>1</v>
      </c>
    </row>
    <row r="163" spans="1:4" x14ac:dyDescent="0.25">
      <c r="C163" t="s">
        <v>160</v>
      </c>
      <c r="D163">
        <v>1</v>
      </c>
    </row>
    <row r="164" spans="1:4" x14ac:dyDescent="0.25">
      <c r="C164" t="s">
        <v>159</v>
      </c>
      <c r="D164">
        <v>1</v>
      </c>
    </row>
    <row r="165" spans="1:4" x14ac:dyDescent="0.25">
      <c r="C165" t="s">
        <v>163</v>
      </c>
      <c r="D165">
        <v>1</v>
      </c>
    </row>
    <row r="166" spans="1:4" x14ac:dyDescent="0.25">
      <c r="C166" t="s">
        <v>55</v>
      </c>
      <c r="D166">
        <v>1</v>
      </c>
    </row>
    <row r="167" spans="1:4" x14ac:dyDescent="0.25">
      <c r="C167" t="s">
        <v>167</v>
      </c>
      <c r="D167">
        <v>1</v>
      </c>
    </row>
    <row r="168" spans="1:4" x14ac:dyDescent="0.25">
      <c r="C168" t="s">
        <v>168</v>
      </c>
      <c r="D168">
        <v>1</v>
      </c>
    </row>
    <row r="169" spans="1:4" x14ac:dyDescent="0.25">
      <c r="B169" t="s">
        <v>700</v>
      </c>
      <c r="D169">
        <v>27</v>
      </c>
    </row>
    <row r="170" spans="1:4" x14ac:dyDescent="0.25">
      <c r="A170" t="s">
        <v>661</v>
      </c>
      <c r="D170">
        <v>27</v>
      </c>
    </row>
    <row r="171" spans="1:4" x14ac:dyDescent="0.25">
      <c r="A171" t="s">
        <v>654</v>
      </c>
      <c r="B171" t="s">
        <v>655</v>
      </c>
      <c r="C171" t="s">
        <v>186</v>
      </c>
      <c r="D171">
        <v>1</v>
      </c>
    </row>
    <row r="172" spans="1:4" x14ac:dyDescent="0.25">
      <c r="C172" t="s">
        <v>97</v>
      </c>
      <c r="D172">
        <v>1</v>
      </c>
    </row>
    <row r="173" spans="1:4" x14ac:dyDescent="0.25">
      <c r="C173" t="s">
        <v>135</v>
      </c>
      <c r="D173">
        <v>1</v>
      </c>
    </row>
    <row r="174" spans="1:4" x14ac:dyDescent="0.25">
      <c r="C174" t="s">
        <v>98</v>
      </c>
      <c r="D174">
        <v>1</v>
      </c>
    </row>
    <row r="175" spans="1:4" x14ac:dyDescent="0.25">
      <c r="C175" t="s">
        <v>29</v>
      </c>
      <c r="D175">
        <v>1</v>
      </c>
    </row>
    <row r="176" spans="1:4" x14ac:dyDescent="0.25">
      <c r="C176" t="s">
        <v>37</v>
      </c>
      <c r="D176">
        <v>1</v>
      </c>
    </row>
    <row r="177" spans="1:4" x14ac:dyDescent="0.25">
      <c r="C177" t="s">
        <v>213</v>
      </c>
      <c r="D177">
        <v>1</v>
      </c>
    </row>
    <row r="178" spans="1:4" x14ac:dyDescent="0.25">
      <c r="C178" t="s">
        <v>172</v>
      </c>
      <c r="D178">
        <v>1</v>
      </c>
    </row>
    <row r="179" spans="1:4" x14ac:dyDescent="0.25">
      <c r="C179" t="s">
        <v>40</v>
      </c>
      <c r="D179">
        <v>1</v>
      </c>
    </row>
    <row r="180" spans="1:4" x14ac:dyDescent="0.25">
      <c r="C180" t="s">
        <v>103</v>
      </c>
      <c r="D180">
        <v>1</v>
      </c>
    </row>
    <row r="181" spans="1:4" x14ac:dyDescent="0.25">
      <c r="C181" t="s">
        <v>196</v>
      </c>
      <c r="D181">
        <v>1</v>
      </c>
    </row>
    <row r="182" spans="1:4" x14ac:dyDescent="0.25">
      <c r="C182" t="s">
        <v>199</v>
      </c>
      <c r="D182">
        <v>1</v>
      </c>
    </row>
    <row r="183" spans="1:4" x14ac:dyDescent="0.25">
      <c r="C183" t="s">
        <v>45</v>
      </c>
      <c r="D183">
        <v>1</v>
      </c>
    </row>
    <row r="184" spans="1:4" x14ac:dyDescent="0.25">
      <c r="C184" t="s">
        <v>201</v>
      </c>
      <c r="D184">
        <v>1</v>
      </c>
    </row>
    <row r="185" spans="1:4" x14ac:dyDescent="0.25">
      <c r="C185" t="s">
        <v>203</v>
      </c>
      <c r="D185">
        <v>1</v>
      </c>
    </row>
    <row r="186" spans="1:4" x14ac:dyDescent="0.25">
      <c r="C186" t="s">
        <v>211</v>
      </c>
      <c r="D186">
        <v>1</v>
      </c>
    </row>
    <row r="187" spans="1:4" x14ac:dyDescent="0.25">
      <c r="B187" t="s">
        <v>701</v>
      </c>
      <c r="D187">
        <v>16</v>
      </c>
    </row>
    <row r="188" spans="1:4" x14ac:dyDescent="0.25">
      <c r="A188" t="s">
        <v>660</v>
      </c>
      <c r="D188">
        <v>16</v>
      </c>
    </row>
    <row r="189" spans="1:4" x14ac:dyDescent="0.25">
      <c r="A189" t="s">
        <v>656</v>
      </c>
      <c r="B189" t="s">
        <v>657</v>
      </c>
      <c r="C189" t="s">
        <v>179</v>
      </c>
      <c r="D189">
        <v>1</v>
      </c>
    </row>
    <row r="190" spans="1:4" x14ac:dyDescent="0.25">
      <c r="C190" t="s">
        <v>129</v>
      </c>
      <c r="D190">
        <v>1</v>
      </c>
    </row>
    <row r="191" spans="1:4" x14ac:dyDescent="0.25">
      <c r="C191" t="s">
        <v>109</v>
      </c>
      <c r="D191">
        <v>1</v>
      </c>
    </row>
    <row r="192" spans="1:4" x14ac:dyDescent="0.25">
      <c r="C192" t="s">
        <v>139</v>
      </c>
      <c r="D192">
        <v>1</v>
      </c>
    </row>
    <row r="193" spans="1:4" x14ac:dyDescent="0.25">
      <c r="C193" t="s">
        <v>32</v>
      </c>
      <c r="D193">
        <v>1</v>
      </c>
    </row>
    <row r="194" spans="1:4" x14ac:dyDescent="0.25">
      <c r="C194" t="s">
        <v>34</v>
      </c>
      <c r="D194">
        <v>1</v>
      </c>
    </row>
    <row r="195" spans="1:4" x14ac:dyDescent="0.25">
      <c r="C195" t="s">
        <v>202</v>
      </c>
      <c r="D195">
        <v>1</v>
      </c>
    </row>
    <row r="196" spans="1:4" x14ac:dyDescent="0.25">
      <c r="C196" t="s">
        <v>208</v>
      </c>
      <c r="D196">
        <v>1</v>
      </c>
    </row>
    <row r="197" spans="1:4" x14ac:dyDescent="0.25">
      <c r="C197" t="s">
        <v>209</v>
      </c>
      <c r="D197">
        <v>1</v>
      </c>
    </row>
    <row r="198" spans="1:4" x14ac:dyDescent="0.25">
      <c r="B198" t="s">
        <v>702</v>
      </c>
      <c r="D198">
        <v>9</v>
      </c>
    </row>
    <row r="199" spans="1:4" x14ac:dyDescent="0.25">
      <c r="A199" t="s">
        <v>662</v>
      </c>
      <c r="D199">
        <v>9</v>
      </c>
    </row>
    <row r="200" spans="1:4" x14ac:dyDescent="0.25">
      <c r="A200" t="s">
        <v>635</v>
      </c>
      <c r="D200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B8C7-8A59-4A44-AEF0-EBA53A61901E}">
  <sheetPr>
    <tabColor theme="1" tint="0.34998626667073579"/>
    <pageSetUpPr fitToPage="1"/>
  </sheetPr>
  <dimension ref="A1:M192"/>
  <sheetViews>
    <sheetView workbookViewId="0">
      <selection activeCell="D12" sqref="D12"/>
    </sheetView>
  </sheetViews>
  <sheetFormatPr defaultRowHeight="15" x14ac:dyDescent="0.25"/>
  <cols>
    <col min="1" max="1" width="10.5703125" bestFit="1" customWidth="1"/>
    <col min="2" max="2" width="20" bestFit="1" customWidth="1"/>
    <col min="3" max="3" width="17.5703125" bestFit="1" customWidth="1"/>
    <col min="4" max="4" width="7.7109375" bestFit="1" customWidth="1"/>
    <col min="5" max="5" width="19.28515625" bestFit="1" customWidth="1"/>
    <col min="6" max="6" width="18.28515625" bestFit="1" customWidth="1"/>
    <col min="7" max="8" width="18.85546875" customWidth="1"/>
    <col min="9" max="9" width="14.5703125" bestFit="1" customWidth="1"/>
    <col min="10" max="10" width="15" customWidth="1"/>
    <col min="11" max="11" width="12.28515625" customWidth="1"/>
    <col min="12" max="12" width="20.5703125" customWidth="1"/>
    <col min="13" max="13" width="16.42578125" customWidth="1"/>
  </cols>
  <sheetData>
    <row r="1" spans="1:13" x14ac:dyDescent="0.25">
      <c r="A1" s="1" t="s">
        <v>224</v>
      </c>
      <c r="B1" s="1" t="s">
        <v>225</v>
      </c>
      <c r="C1" s="1" t="s">
        <v>223</v>
      </c>
      <c r="D1" s="1" t="s">
        <v>222</v>
      </c>
      <c r="E1" s="1" t="s">
        <v>221</v>
      </c>
      <c r="F1" s="1" t="s">
        <v>218</v>
      </c>
      <c r="G1" s="1" t="s">
        <v>219</v>
      </c>
      <c r="H1" s="1" t="s">
        <v>220</v>
      </c>
      <c r="I1" s="3" t="s">
        <v>634</v>
      </c>
      <c r="J1" s="1" t="s">
        <v>687</v>
      </c>
      <c r="K1" s="1" t="s">
        <v>696</v>
      </c>
      <c r="L1" s="1" t="s">
        <v>695</v>
      </c>
      <c r="M1" s="1" t="s">
        <v>697</v>
      </c>
    </row>
    <row r="2" spans="1:13" hidden="1" x14ac:dyDescent="0.25">
      <c r="A2" s="11" t="s">
        <v>0</v>
      </c>
      <c r="B2" s="11" t="s">
        <v>0</v>
      </c>
      <c r="C2" s="11" t="s">
        <v>1</v>
      </c>
      <c r="D2" s="11" t="s">
        <v>2</v>
      </c>
      <c r="E2" s="11" t="s">
        <v>3</v>
      </c>
      <c r="F2" s="11">
        <v>14374</v>
      </c>
      <c r="G2" s="11">
        <v>69857</v>
      </c>
      <c r="H2" s="11" t="s">
        <v>4</v>
      </c>
      <c r="I2" s="12"/>
      <c r="J2" s="13"/>
      <c r="K2" s="13"/>
      <c r="L2" s="50"/>
      <c r="M2" s="50"/>
    </row>
    <row r="3" spans="1:13" x14ac:dyDescent="0.25">
      <c r="A3" s="16" t="s">
        <v>0</v>
      </c>
      <c r="B3" s="16" t="s">
        <v>5</v>
      </c>
      <c r="C3" s="16" t="s">
        <v>1</v>
      </c>
      <c r="D3" s="16" t="s">
        <v>6</v>
      </c>
      <c r="E3" s="16" t="s">
        <v>3</v>
      </c>
      <c r="F3" s="16">
        <v>1880</v>
      </c>
      <c r="G3" s="16">
        <v>5012</v>
      </c>
      <c r="H3" s="16" t="s">
        <v>4</v>
      </c>
      <c r="I3" s="17">
        <v>29418</v>
      </c>
      <c r="J3" s="18" t="s">
        <v>652</v>
      </c>
      <c r="K3" s="16" t="s">
        <v>653</v>
      </c>
      <c r="L3" s="50" t="str">
        <f>VLOOKUP(Table1[[#This Row],[STUDENT COUNT]],RNG_STUDENT_CATEGORY,2,TRUE)</f>
        <v>Large</v>
      </c>
      <c r="M3" s="50" t="str">
        <f>_xlfn.XLOOKUP(Table1[[#This Row],[CATEGORY OF STUDENT ASSO]],CATEGORY!$D$11:$D$15,CATEGORY!$B$11:$B$15)</f>
        <v>5001 to 10000</v>
      </c>
    </row>
    <row r="4" spans="1:13" x14ac:dyDescent="0.25">
      <c r="A4" s="16" t="s">
        <v>0</v>
      </c>
      <c r="B4" s="16" t="s">
        <v>7</v>
      </c>
      <c r="C4" s="16" t="s">
        <v>8</v>
      </c>
      <c r="D4" s="16" t="s">
        <v>6</v>
      </c>
      <c r="E4" s="16" t="s">
        <v>3</v>
      </c>
      <c r="F4" s="16">
        <v>881</v>
      </c>
      <c r="G4" s="16">
        <v>1870</v>
      </c>
      <c r="H4" s="16" t="s">
        <v>4</v>
      </c>
      <c r="I4" s="17">
        <v>33147</v>
      </c>
      <c r="J4" s="16" t="s">
        <v>650</v>
      </c>
      <c r="K4" s="16" t="s">
        <v>651</v>
      </c>
      <c r="L4" s="50" t="str">
        <f>VLOOKUP(Table1[[#This Row],[STUDENT COUNT]],RNG_STUDENT_CATEGORY,2,TRUE)</f>
        <v>Small</v>
      </c>
      <c r="M4" s="50" t="str">
        <f>_xlfn.XLOOKUP(Table1[[#This Row],[CATEGORY OF STUDENT ASSO]],CATEGORY!$D$11:$D$15,CATEGORY!$B$11:$B$15)</f>
        <v>10001 to 3000</v>
      </c>
    </row>
    <row r="5" spans="1:13" x14ac:dyDescent="0.25">
      <c r="A5" s="16" t="s">
        <v>0</v>
      </c>
      <c r="B5" s="16" t="s">
        <v>9</v>
      </c>
      <c r="C5" s="16" t="s">
        <v>1</v>
      </c>
      <c r="D5" s="16" t="s">
        <v>6</v>
      </c>
      <c r="E5" s="16" t="s">
        <v>3</v>
      </c>
      <c r="F5" s="16">
        <v>418</v>
      </c>
      <c r="G5" s="16">
        <v>1947</v>
      </c>
      <c r="H5" s="16" t="s">
        <v>10</v>
      </c>
      <c r="I5" s="17">
        <v>39438</v>
      </c>
      <c r="J5" s="16" t="s">
        <v>648</v>
      </c>
      <c r="K5" s="16" t="s">
        <v>649</v>
      </c>
      <c r="L5" s="50" t="str">
        <f>VLOOKUP(Table1[[#This Row],[STUDENT COUNT]],RNG_STUDENT_CATEGORY,2,TRUE)</f>
        <v>Small</v>
      </c>
      <c r="M5" s="50" t="str">
        <f>_xlfn.XLOOKUP(Table1[[#This Row],[CATEGORY OF STUDENT ASSO]],CATEGORY!$D$11:$D$15,CATEGORY!$B$11:$B$15)</f>
        <v>10001 to 3000</v>
      </c>
    </row>
    <row r="6" spans="1:13" x14ac:dyDescent="0.25">
      <c r="A6" s="16" t="s">
        <v>0</v>
      </c>
      <c r="B6" s="16" t="s">
        <v>11</v>
      </c>
      <c r="C6" s="16" t="s">
        <v>1</v>
      </c>
      <c r="D6" s="16" t="s">
        <v>6</v>
      </c>
      <c r="E6" s="16" t="s">
        <v>3</v>
      </c>
      <c r="F6" s="16">
        <v>608</v>
      </c>
      <c r="G6" s="16">
        <v>3395</v>
      </c>
      <c r="H6" s="16" t="s">
        <v>4</v>
      </c>
      <c r="I6" s="17">
        <v>31240</v>
      </c>
      <c r="J6" s="16" t="s">
        <v>650</v>
      </c>
      <c r="K6" s="16" t="s">
        <v>651</v>
      </c>
      <c r="L6" s="50" t="str">
        <f>VLOOKUP(Table1[[#This Row],[STUDENT COUNT]],RNG_STUDENT_CATEGORY,2,TRUE)</f>
        <v>Medium</v>
      </c>
      <c r="M6" s="50" t="str">
        <f>_xlfn.XLOOKUP(Table1[[#This Row],[CATEGORY OF STUDENT ASSO]],CATEGORY!$D$11:$D$15,CATEGORY!$B$11:$B$15)</f>
        <v>3001 to 5000</v>
      </c>
    </row>
    <row r="7" spans="1:13" x14ac:dyDescent="0.25">
      <c r="A7" s="16" t="s">
        <v>0</v>
      </c>
      <c r="B7" s="16" t="s">
        <v>12</v>
      </c>
      <c r="C7" s="16" t="s">
        <v>8</v>
      </c>
      <c r="D7" s="16" t="s">
        <v>6</v>
      </c>
      <c r="E7" s="16" t="s">
        <v>3</v>
      </c>
      <c r="F7" s="16">
        <v>886</v>
      </c>
      <c r="G7" s="16">
        <v>1896</v>
      </c>
      <c r="H7" s="16" t="s">
        <v>4</v>
      </c>
      <c r="I7" s="17">
        <v>32578</v>
      </c>
      <c r="J7" s="16" t="s">
        <v>650</v>
      </c>
      <c r="K7" s="16" t="s">
        <v>651</v>
      </c>
      <c r="L7" s="50" t="str">
        <f>VLOOKUP(Table1[[#This Row],[STUDENT COUNT]],RNG_STUDENT_CATEGORY,2,TRUE)</f>
        <v>Small</v>
      </c>
      <c r="M7" s="50" t="str">
        <f>_xlfn.XLOOKUP(Table1[[#This Row],[CATEGORY OF STUDENT ASSO]],CATEGORY!$D$11:$D$15,CATEGORY!$B$11:$B$15)</f>
        <v>10001 to 3000</v>
      </c>
    </row>
    <row r="8" spans="1:13" x14ac:dyDescent="0.25">
      <c r="A8" s="16" t="s">
        <v>0</v>
      </c>
      <c r="B8" s="16" t="s">
        <v>13</v>
      </c>
      <c r="C8" s="16" t="s">
        <v>1</v>
      </c>
      <c r="D8" s="16" t="s">
        <v>6</v>
      </c>
      <c r="E8" s="16" t="s">
        <v>3</v>
      </c>
      <c r="F8" s="16">
        <v>638</v>
      </c>
      <c r="G8" s="16">
        <v>1816</v>
      </c>
      <c r="H8" s="16" t="s">
        <v>4</v>
      </c>
      <c r="I8" s="17">
        <v>32365</v>
      </c>
      <c r="J8" s="16" t="s">
        <v>650</v>
      </c>
      <c r="K8" s="16" t="s">
        <v>651</v>
      </c>
      <c r="L8" s="50" t="str">
        <f>VLOOKUP(Table1[[#This Row],[STUDENT COUNT]],RNG_STUDENT_CATEGORY,2,TRUE)</f>
        <v>Small</v>
      </c>
      <c r="M8" s="50" t="str">
        <f>_xlfn.XLOOKUP(Table1[[#This Row],[CATEGORY OF STUDENT ASSO]],CATEGORY!$D$11:$D$15,CATEGORY!$B$11:$B$15)</f>
        <v>10001 to 3000</v>
      </c>
    </row>
    <row r="9" spans="1:13" x14ac:dyDescent="0.25">
      <c r="A9" s="16" t="s">
        <v>0</v>
      </c>
      <c r="B9" s="16" t="s">
        <v>14</v>
      </c>
      <c r="C9" s="16" t="s">
        <v>8</v>
      </c>
      <c r="D9" s="16" t="s">
        <v>6</v>
      </c>
      <c r="E9" s="16" t="s">
        <v>3</v>
      </c>
      <c r="F9" s="16">
        <v>609</v>
      </c>
      <c r="G9" s="16">
        <v>1321</v>
      </c>
      <c r="H9" s="16" t="s">
        <v>4</v>
      </c>
      <c r="I9" s="17">
        <v>39726</v>
      </c>
      <c r="J9" s="16" t="s">
        <v>650</v>
      </c>
      <c r="K9" s="16" t="s">
        <v>651</v>
      </c>
      <c r="L9" s="50" t="str">
        <f>VLOOKUP(Table1[[#This Row],[STUDENT COUNT]],RNG_STUDENT_CATEGORY,2,TRUE)</f>
        <v>Small</v>
      </c>
      <c r="M9" s="50" t="str">
        <f>_xlfn.XLOOKUP(Table1[[#This Row],[CATEGORY OF STUDENT ASSO]],CATEGORY!$D$11:$D$15,CATEGORY!$B$11:$B$15)</f>
        <v>10001 to 3000</v>
      </c>
    </row>
    <row r="10" spans="1:13" x14ac:dyDescent="0.25">
      <c r="A10" s="16" t="s">
        <v>0</v>
      </c>
      <c r="B10" s="16" t="s">
        <v>15</v>
      </c>
      <c r="C10" s="16" t="s">
        <v>8</v>
      </c>
      <c r="D10" s="16" t="s">
        <v>6</v>
      </c>
      <c r="E10" s="16" t="s">
        <v>3</v>
      </c>
      <c r="F10" s="16">
        <v>314</v>
      </c>
      <c r="G10" s="16">
        <v>619</v>
      </c>
      <c r="H10" s="16" t="s">
        <v>10</v>
      </c>
      <c r="I10" s="17">
        <v>41680</v>
      </c>
      <c r="J10" s="16" t="s">
        <v>648</v>
      </c>
      <c r="K10" s="16" t="s">
        <v>649</v>
      </c>
      <c r="L10" s="50" t="str">
        <f>VLOOKUP(Table1[[#This Row],[STUDENT COUNT]],RNG_STUDENT_CATEGORY,2,TRUE)</f>
        <v>Micro</v>
      </c>
      <c r="M10" s="50" t="str">
        <f>_xlfn.XLOOKUP(Table1[[#This Row],[CATEGORY OF STUDENT ASSO]],CATEGORY!$D$11:$D$15,CATEGORY!$B$11:$B$15)</f>
        <v>1 to 1000</v>
      </c>
    </row>
    <row r="11" spans="1:13" x14ac:dyDescent="0.25">
      <c r="A11" s="16" t="s">
        <v>0</v>
      </c>
      <c r="B11" s="16" t="s">
        <v>16</v>
      </c>
      <c r="C11" s="16" t="s">
        <v>17</v>
      </c>
      <c r="D11" s="16" t="s">
        <v>6</v>
      </c>
      <c r="E11" s="16" t="s">
        <v>3</v>
      </c>
      <c r="F11" s="16">
        <v>836</v>
      </c>
      <c r="G11" s="16">
        <v>3239</v>
      </c>
      <c r="H11" s="16" t="s">
        <v>4</v>
      </c>
      <c r="I11" s="17">
        <v>37012</v>
      </c>
      <c r="J11" s="16" t="s">
        <v>650</v>
      </c>
      <c r="K11" s="16" t="s">
        <v>651</v>
      </c>
      <c r="L11" s="50" t="str">
        <f>VLOOKUP(Table1[[#This Row],[STUDENT COUNT]],RNG_STUDENT_CATEGORY,2,TRUE)</f>
        <v>Medium</v>
      </c>
      <c r="M11" s="50" t="str">
        <f>_xlfn.XLOOKUP(Table1[[#This Row],[CATEGORY OF STUDENT ASSO]],CATEGORY!$D$11:$D$15,CATEGORY!$B$11:$B$15)</f>
        <v>3001 to 5000</v>
      </c>
    </row>
    <row r="12" spans="1:13" x14ac:dyDescent="0.25">
      <c r="A12" s="16" t="s">
        <v>0</v>
      </c>
      <c r="B12" s="16" t="s">
        <v>18</v>
      </c>
      <c r="C12" s="16" t="s">
        <v>8</v>
      </c>
      <c r="D12" s="16" t="s">
        <v>6</v>
      </c>
      <c r="E12" s="16" t="s">
        <v>3</v>
      </c>
      <c r="F12" s="16">
        <v>1710</v>
      </c>
      <c r="G12" s="16">
        <v>3633</v>
      </c>
      <c r="H12" s="16" t="s">
        <v>4</v>
      </c>
      <c r="I12" s="17">
        <v>32142</v>
      </c>
      <c r="J12" s="16" t="s">
        <v>652</v>
      </c>
      <c r="K12" s="16" t="s">
        <v>653</v>
      </c>
      <c r="L12" s="50" t="str">
        <f>VLOOKUP(Table1[[#This Row],[STUDENT COUNT]],RNG_STUDENT_CATEGORY,2,TRUE)</f>
        <v>Medium</v>
      </c>
      <c r="M12" s="50" t="str">
        <f>_xlfn.XLOOKUP(Table1[[#This Row],[CATEGORY OF STUDENT ASSO]],CATEGORY!$D$11:$D$15,CATEGORY!$B$11:$B$15)</f>
        <v>3001 to 5000</v>
      </c>
    </row>
    <row r="13" spans="1:13" x14ac:dyDescent="0.25">
      <c r="A13" s="16" t="s">
        <v>0</v>
      </c>
      <c r="B13" s="16" t="s">
        <v>19</v>
      </c>
      <c r="C13" s="16" t="s">
        <v>20</v>
      </c>
      <c r="D13" s="16" t="s">
        <v>6</v>
      </c>
      <c r="E13" s="16" t="s">
        <v>3</v>
      </c>
      <c r="F13" s="16">
        <v>2129</v>
      </c>
      <c r="G13" s="16">
        <v>5269</v>
      </c>
      <c r="H13" s="16" t="s">
        <v>4</v>
      </c>
      <c r="I13" s="17">
        <v>29571</v>
      </c>
      <c r="J13" s="16" t="s">
        <v>652</v>
      </c>
      <c r="K13" s="16" t="s">
        <v>653</v>
      </c>
      <c r="L13" s="50" t="str">
        <f>VLOOKUP(Table1[[#This Row],[STUDENT COUNT]],RNG_STUDENT_CATEGORY,2,TRUE)</f>
        <v>Large</v>
      </c>
      <c r="M13" s="50" t="str">
        <f>_xlfn.XLOOKUP(Table1[[#This Row],[CATEGORY OF STUDENT ASSO]],CATEGORY!$D$11:$D$15,CATEGORY!$B$11:$B$15)</f>
        <v>5001 to 10000</v>
      </c>
    </row>
    <row r="14" spans="1:13" x14ac:dyDescent="0.25">
      <c r="A14" s="16" t="s">
        <v>0</v>
      </c>
      <c r="B14" s="16" t="s">
        <v>21</v>
      </c>
      <c r="C14" s="16" t="s">
        <v>8</v>
      </c>
      <c r="D14" s="16" t="s">
        <v>6</v>
      </c>
      <c r="E14" s="16" t="s">
        <v>3</v>
      </c>
      <c r="F14" s="16">
        <v>890</v>
      </c>
      <c r="G14" s="16">
        <v>2469</v>
      </c>
      <c r="H14" s="16" t="s">
        <v>4</v>
      </c>
      <c r="I14" s="17">
        <v>38541</v>
      </c>
      <c r="J14" s="16" t="s">
        <v>650</v>
      </c>
      <c r="K14" s="16" t="s">
        <v>651</v>
      </c>
      <c r="L14" s="50" t="str">
        <f>VLOOKUP(Table1[[#This Row],[STUDENT COUNT]],RNG_STUDENT_CATEGORY,2,TRUE)</f>
        <v>Small</v>
      </c>
      <c r="M14" s="50" t="str">
        <f>_xlfn.XLOOKUP(Table1[[#This Row],[CATEGORY OF STUDENT ASSO]],CATEGORY!$D$11:$D$15,CATEGORY!$B$11:$B$15)</f>
        <v>10001 to 3000</v>
      </c>
    </row>
    <row r="15" spans="1:13" x14ac:dyDescent="0.25">
      <c r="A15" s="16" t="s">
        <v>0</v>
      </c>
      <c r="B15" s="16" t="s">
        <v>22</v>
      </c>
      <c r="C15" s="16" t="s">
        <v>17</v>
      </c>
      <c r="D15" s="16" t="s">
        <v>6</v>
      </c>
      <c r="E15" s="16" t="s">
        <v>3</v>
      </c>
      <c r="F15" s="16">
        <v>450</v>
      </c>
      <c r="G15" s="16">
        <v>1765</v>
      </c>
      <c r="H15" s="16" t="s">
        <v>4</v>
      </c>
      <c r="I15" s="17">
        <v>39073</v>
      </c>
      <c r="J15" s="16" t="s">
        <v>648</v>
      </c>
      <c r="K15" s="16" t="s">
        <v>649</v>
      </c>
      <c r="L15" s="50" t="str">
        <f>VLOOKUP(Table1[[#This Row],[STUDENT COUNT]],RNG_STUDENT_CATEGORY,2,TRUE)</f>
        <v>Small</v>
      </c>
      <c r="M15" s="50" t="str">
        <f>_xlfn.XLOOKUP(Table1[[#This Row],[CATEGORY OF STUDENT ASSO]],CATEGORY!$D$11:$D$15,CATEGORY!$B$11:$B$15)</f>
        <v>10001 to 3000</v>
      </c>
    </row>
    <row r="16" spans="1:13" x14ac:dyDescent="0.25">
      <c r="A16" s="16" t="s">
        <v>0</v>
      </c>
      <c r="B16" s="16" t="s">
        <v>23</v>
      </c>
      <c r="C16" s="16" t="s">
        <v>8</v>
      </c>
      <c r="D16" s="16" t="s">
        <v>6</v>
      </c>
      <c r="E16" s="16" t="s">
        <v>3</v>
      </c>
      <c r="F16" s="16">
        <v>566</v>
      </c>
      <c r="G16" s="16">
        <v>1691</v>
      </c>
      <c r="H16" s="16" t="s">
        <v>10</v>
      </c>
      <c r="I16" s="17">
        <v>41359</v>
      </c>
      <c r="J16" s="16" t="s">
        <v>650</v>
      </c>
      <c r="K16" s="16" t="s">
        <v>651</v>
      </c>
      <c r="L16" s="50" t="str">
        <f>VLOOKUP(Table1[[#This Row],[STUDENT COUNT]],RNG_STUDENT_CATEGORY,2,TRUE)</f>
        <v>Small</v>
      </c>
      <c r="M16" s="50" t="str">
        <f>_xlfn.XLOOKUP(Table1[[#This Row],[CATEGORY OF STUDENT ASSO]],CATEGORY!$D$11:$D$15,CATEGORY!$B$11:$B$15)</f>
        <v>10001 to 3000</v>
      </c>
    </row>
    <row r="17" spans="1:13" hidden="1" x14ac:dyDescent="0.25">
      <c r="A17" s="16" t="s">
        <v>0</v>
      </c>
      <c r="B17" s="16" t="s">
        <v>24</v>
      </c>
      <c r="C17" s="16" t="s">
        <v>25</v>
      </c>
      <c r="D17" s="16" t="s">
        <v>6</v>
      </c>
      <c r="E17" s="16" t="s">
        <v>26</v>
      </c>
      <c r="F17" s="16">
        <v>1001</v>
      </c>
      <c r="G17" s="16">
        <v>2701</v>
      </c>
      <c r="H17" s="16" t="s">
        <v>4</v>
      </c>
      <c r="I17" s="17">
        <v>32263</v>
      </c>
      <c r="J17" s="16" t="s">
        <v>652</v>
      </c>
      <c r="K17" s="16" t="s">
        <v>653</v>
      </c>
      <c r="L17" s="50"/>
      <c r="M17" s="50"/>
    </row>
    <row r="18" spans="1:13" x14ac:dyDescent="0.25">
      <c r="A18" s="16" t="s">
        <v>0</v>
      </c>
      <c r="B18" s="16" t="s">
        <v>27</v>
      </c>
      <c r="C18" s="16" t="s">
        <v>28</v>
      </c>
      <c r="D18" s="16" t="s">
        <v>6</v>
      </c>
      <c r="E18" s="16" t="s">
        <v>3</v>
      </c>
      <c r="F18" s="16">
        <v>640</v>
      </c>
      <c r="G18" s="16">
        <v>2283</v>
      </c>
      <c r="H18" s="16" t="s">
        <v>4</v>
      </c>
      <c r="I18" s="17">
        <v>32862</v>
      </c>
      <c r="J18" s="16" t="s">
        <v>650</v>
      </c>
      <c r="K18" s="16" t="s">
        <v>651</v>
      </c>
      <c r="L18" s="50" t="str">
        <f>VLOOKUP(Table1[[#This Row],[STUDENT COUNT]],RNG_STUDENT_CATEGORY,2,TRUE)</f>
        <v>Small</v>
      </c>
      <c r="M18" s="50" t="str">
        <f>_xlfn.XLOOKUP(Table1[[#This Row],[CATEGORY OF STUDENT ASSO]],CATEGORY!$D$11:$D$15,CATEGORY!$B$11:$B$15)</f>
        <v>10001 to 3000</v>
      </c>
    </row>
    <row r="19" spans="1:13" x14ac:dyDescent="0.25">
      <c r="A19" s="16" t="s">
        <v>0</v>
      </c>
      <c r="B19" s="16" t="s">
        <v>29</v>
      </c>
      <c r="C19" s="16" t="s">
        <v>1</v>
      </c>
      <c r="D19" s="16" t="s">
        <v>6</v>
      </c>
      <c r="E19" s="16" t="s">
        <v>3</v>
      </c>
      <c r="F19" s="16">
        <v>4798</v>
      </c>
      <c r="G19" s="16">
        <v>11176</v>
      </c>
      <c r="H19" s="16" t="s">
        <v>4</v>
      </c>
      <c r="I19" s="17">
        <v>27583</v>
      </c>
      <c r="J19" s="16" t="s">
        <v>654</v>
      </c>
      <c r="K19" s="16" t="s">
        <v>655</v>
      </c>
      <c r="L19" s="50" t="str">
        <f>VLOOKUP(Table1[[#This Row],[STUDENT COUNT]],RNG_STUDENT_CATEGORY,2,TRUE)</f>
        <v>Mega</v>
      </c>
      <c r="M19" s="50" t="str">
        <f>_xlfn.XLOOKUP(Table1[[#This Row],[CATEGORY OF STUDENT ASSO]],CATEGORY!$D$11:$D$15,CATEGORY!$B$11:$B$15)</f>
        <v>&gt;10000</v>
      </c>
    </row>
    <row r="20" spans="1:13" x14ac:dyDescent="0.25">
      <c r="A20" s="16" t="s">
        <v>0</v>
      </c>
      <c r="B20" s="16" t="s">
        <v>30</v>
      </c>
      <c r="C20" s="16" t="s">
        <v>1</v>
      </c>
      <c r="D20" s="16" t="s">
        <v>6</v>
      </c>
      <c r="E20" s="16" t="s">
        <v>3</v>
      </c>
      <c r="F20" s="16">
        <v>601</v>
      </c>
      <c r="G20" s="16">
        <v>3780</v>
      </c>
      <c r="H20" s="16" t="s">
        <v>10</v>
      </c>
      <c r="I20" s="17">
        <v>38968</v>
      </c>
      <c r="J20" s="16" t="s">
        <v>650</v>
      </c>
      <c r="K20" s="16" t="s">
        <v>651</v>
      </c>
      <c r="L20" s="50" t="str">
        <f>VLOOKUP(Table1[[#This Row],[STUDENT COUNT]],RNG_STUDENT_CATEGORY,2,TRUE)</f>
        <v>Medium</v>
      </c>
      <c r="M20" s="50" t="str">
        <f>_xlfn.XLOOKUP(Table1[[#This Row],[CATEGORY OF STUDENT ASSO]],CATEGORY!$D$11:$D$15,CATEGORY!$B$11:$B$15)</f>
        <v>3001 to 5000</v>
      </c>
    </row>
    <row r="21" spans="1:13" x14ac:dyDescent="0.25">
      <c r="A21" s="16" t="s">
        <v>0</v>
      </c>
      <c r="B21" s="16" t="s">
        <v>31</v>
      </c>
      <c r="C21" s="16" t="s">
        <v>20</v>
      </c>
      <c r="D21" s="16" t="s">
        <v>6</v>
      </c>
      <c r="E21" s="16" t="s">
        <v>3</v>
      </c>
      <c r="F21" s="16">
        <v>694</v>
      </c>
      <c r="G21" s="16">
        <v>2169</v>
      </c>
      <c r="H21" s="16" t="s">
        <v>4</v>
      </c>
      <c r="I21" s="17">
        <v>32037</v>
      </c>
      <c r="J21" s="16" t="s">
        <v>650</v>
      </c>
      <c r="K21" s="16" t="s">
        <v>651</v>
      </c>
      <c r="L21" s="50" t="str">
        <f>VLOOKUP(Table1[[#This Row],[STUDENT COUNT]],RNG_STUDENT_CATEGORY,2,TRUE)</f>
        <v>Small</v>
      </c>
      <c r="M21" s="50" t="str">
        <f>_xlfn.XLOOKUP(Table1[[#This Row],[CATEGORY OF STUDENT ASSO]],CATEGORY!$D$11:$D$15,CATEGORY!$B$11:$B$15)</f>
        <v>10001 to 3000</v>
      </c>
    </row>
    <row r="22" spans="1:13" x14ac:dyDescent="0.25">
      <c r="A22" s="16" t="s">
        <v>0</v>
      </c>
      <c r="B22" s="16" t="s">
        <v>32</v>
      </c>
      <c r="C22" s="16" t="s">
        <v>20</v>
      </c>
      <c r="D22" s="16" t="s">
        <v>6</v>
      </c>
      <c r="E22" s="16" t="s">
        <v>3</v>
      </c>
      <c r="F22" s="16">
        <v>5259</v>
      </c>
      <c r="G22" s="16">
        <v>11765</v>
      </c>
      <c r="H22" s="16" t="s">
        <v>4</v>
      </c>
      <c r="I22" s="17">
        <v>26163</v>
      </c>
      <c r="J22" s="16" t="s">
        <v>656</v>
      </c>
      <c r="K22" s="16" t="s">
        <v>657</v>
      </c>
      <c r="L22" s="50" t="str">
        <f>VLOOKUP(Table1[[#This Row],[STUDENT COUNT]],RNG_STUDENT_CATEGORY,2,TRUE)</f>
        <v>Mega</v>
      </c>
      <c r="M22" s="50" t="str">
        <f>_xlfn.XLOOKUP(Table1[[#This Row],[CATEGORY OF STUDENT ASSO]],CATEGORY!$D$11:$D$15,CATEGORY!$B$11:$B$15)</f>
        <v>&gt;10000</v>
      </c>
    </row>
    <row r="23" spans="1:13" x14ac:dyDescent="0.25">
      <c r="A23" s="16" t="s">
        <v>0</v>
      </c>
      <c r="B23" s="16" t="s">
        <v>33</v>
      </c>
      <c r="C23" s="16" t="s">
        <v>20</v>
      </c>
      <c r="D23" s="16" t="s">
        <v>6</v>
      </c>
      <c r="E23" s="16" t="s">
        <v>3</v>
      </c>
      <c r="F23" s="16">
        <v>739</v>
      </c>
      <c r="G23" s="16">
        <v>2432</v>
      </c>
      <c r="H23" s="16" t="s">
        <v>10</v>
      </c>
      <c r="I23" s="17">
        <v>38095</v>
      </c>
      <c r="J23" s="16" t="s">
        <v>650</v>
      </c>
      <c r="K23" s="16" t="s">
        <v>651</v>
      </c>
      <c r="L23" s="50" t="str">
        <f>VLOOKUP(Table1[[#This Row],[STUDENT COUNT]],RNG_STUDENT_CATEGORY,2,TRUE)</f>
        <v>Small</v>
      </c>
      <c r="M23" s="50" t="str">
        <f>_xlfn.XLOOKUP(Table1[[#This Row],[CATEGORY OF STUDENT ASSO]],CATEGORY!$D$11:$D$15,CATEGORY!$B$11:$B$15)</f>
        <v>10001 to 3000</v>
      </c>
    </row>
    <row r="24" spans="1:13" x14ac:dyDescent="0.25">
      <c r="A24" s="16" t="s">
        <v>0</v>
      </c>
      <c r="B24" s="16" t="s">
        <v>34</v>
      </c>
      <c r="C24" s="16" t="s">
        <v>8</v>
      </c>
      <c r="D24" s="16" t="s">
        <v>6</v>
      </c>
      <c r="E24" s="16" t="s">
        <v>3</v>
      </c>
      <c r="F24" s="16">
        <v>11687</v>
      </c>
      <c r="G24" s="16">
        <v>19498</v>
      </c>
      <c r="H24" s="16" t="s">
        <v>4</v>
      </c>
      <c r="I24" s="17">
        <v>25659</v>
      </c>
      <c r="J24" s="16" t="s">
        <v>656</v>
      </c>
      <c r="K24" s="16" t="s">
        <v>657</v>
      </c>
      <c r="L24" s="50" t="str">
        <f>VLOOKUP(Table1[[#This Row],[STUDENT COUNT]],RNG_STUDENT_CATEGORY,2,TRUE)</f>
        <v>Mega</v>
      </c>
      <c r="M24" s="50" t="str">
        <f>_xlfn.XLOOKUP(Table1[[#This Row],[CATEGORY OF STUDENT ASSO]],CATEGORY!$D$11:$D$15,CATEGORY!$B$11:$B$15)</f>
        <v>&gt;10000</v>
      </c>
    </row>
    <row r="25" spans="1:13" x14ac:dyDescent="0.25">
      <c r="A25" s="16" t="s">
        <v>0</v>
      </c>
      <c r="B25" s="16" t="s">
        <v>35</v>
      </c>
      <c r="C25" s="16" t="s">
        <v>28</v>
      </c>
      <c r="D25" s="16" t="s">
        <v>6</v>
      </c>
      <c r="E25" s="16" t="s">
        <v>3</v>
      </c>
      <c r="F25" s="16">
        <v>852</v>
      </c>
      <c r="G25" s="16">
        <v>2820</v>
      </c>
      <c r="H25" s="16" t="s">
        <v>10</v>
      </c>
      <c r="I25" s="17">
        <v>26163</v>
      </c>
      <c r="J25" s="16" t="s">
        <v>650</v>
      </c>
      <c r="K25" s="16" t="s">
        <v>651</v>
      </c>
      <c r="L25" s="50" t="str">
        <f>VLOOKUP(Table1[[#This Row],[STUDENT COUNT]],RNG_STUDENT_CATEGORY,2,TRUE)</f>
        <v>Small</v>
      </c>
      <c r="M25" s="50" t="str">
        <f>_xlfn.XLOOKUP(Table1[[#This Row],[CATEGORY OF STUDENT ASSO]],CATEGORY!$D$11:$D$15,CATEGORY!$B$11:$B$15)</f>
        <v>10001 to 3000</v>
      </c>
    </row>
    <row r="26" spans="1:13" x14ac:dyDescent="0.25">
      <c r="A26" s="16" t="s">
        <v>0</v>
      </c>
      <c r="B26" s="16" t="s">
        <v>36</v>
      </c>
      <c r="C26" s="16" t="s">
        <v>1</v>
      </c>
      <c r="D26" s="16" t="s">
        <v>6</v>
      </c>
      <c r="E26" s="16" t="s">
        <v>3</v>
      </c>
      <c r="F26" s="16">
        <v>360</v>
      </c>
      <c r="G26" s="16">
        <v>1467</v>
      </c>
      <c r="H26" s="16" t="s">
        <v>10</v>
      </c>
      <c r="I26" s="17">
        <v>41359</v>
      </c>
      <c r="J26" s="16" t="s">
        <v>648</v>
      </c>
      <c r="K26" s="16" t="s">
        <v>649</v>
      </c>
      <c r="L26" s="50" t="str">
        <f>VLOOKUP(Table1[[#This Row],[STUDENT COUNT]],RNG_STUDENT_CATEGORY,2,TRUE)</f>
        <v>Small</v>
      </c>
      <c r="M26" s="50" t="str">
        <f>_xlfn.XLOOKUP(Table1[[#This Row],[CATEGORY OF STUDENT ASSO]],CATEGORY!$D$11:$D$15,CATEGORY!$B$11:$B$15)</f>
        <v>10001 to 3000</v>
      </c>
    </row>
    <row r="27" spans="1:13" x14ac:dyDescent="0.25">
      <c r="A27" s="16" t="s">
        <v>0</v>
      </c>
      <c r="B27" s="16" t="s">
        <v>37</v>
      </c>
      <c r="C27" s="16" t="s">
        <v>8</v>
      </c>
      <c r="D27" s="16" t="s">
        <v>6</v>
      </c>
      <c r="E27" s="16" t="s">
        <v>3</v>
      </c>
      <c r="F27" s="16">
        <v>2574</v>
      </c>
      <c r="G27" s="16">
        <v>5208</v>
      </c>
      <c r="H27" s="16" t="s">
        <v>4</v>
      </c>
      <c r="I27" s="17">
        <v>28019</v>
      </c>
      <c r="J27" s="16" t="s">
        <v>654</v>
      </c>
      <c r="K27" s="16" t="s">
        <v>655</v>
      </c>
      <c r="L27" s="50" t="str">
        <f>VLOOKUP(Table1[[#This Row],[STUDENT COUNT]],RNG_STUDENT_CATEGORY,2,TRUE)</f>
        <v>Large</v>
      </c>
      <c r="M27" s="50" t="str">
        <f>_xlfn.XLOOKUP(Table1[[#This Row],[CATEGORY OF STUDENT ASSO]],CATEGORY!$D$11:$D$15,CATEGORY!$B$11:$B$15)</f>
        <v>5001 to 10000</v>
      </c>
    </row>
    <row r="28" spans="1:13" x14ac:dyDescent="0.25">
      <c r="A28" s="16" t="s">
        <v>0</v>
      </c>
      <c r="B28" s="16" t="s">
        <v>38</v>
      </c>
      <c r="C28" s="16" t="s">
        <v>8</v>
      </c>
      <c r="D28" s="16" t="s">
        <v>6</v>
      </c>
      <c r="E28" s="16" t="s">
        <v>3</v>
      </c>
      <c r="F28" s="16">
        <v>517</v>
      </c>
      <c r="G28" s="16">
        <v>1002</v>
      </c>
      <c r="H28" s="16" t="s">
        <v>4</v>
      </c>
      <c r="I28" s="17">
        <v>41359</v>
      </c>
      <c r="J28" s="16" t="s">
        <v>650</v>
      </c>
      <c r="K28" s="16" t="s">
        <v>651</v>
      </c>
      <c r="L28" s="50" t="str">
        <f>VLOOKUP(Table1[[#This Row],[STUDENT COUNT]],RNG_STUDENT_CATEGORY,2,TRUE)</f>
        <v>Small</v>
      </c>
      <c r="M28" s="50" t="str">
        <f>_xlfn.XLOOKUP(Table1[[#This Row],[CATEGORY OF STUDENT ASSO]],CATEGORY!$D$11:$D$15,CATEGORY!$B$11:$B$15)</f>
        <v>10001 to 3000</v>
      </c>
    </row>
    <row r="29" spans="1:13" x14ac:dyDescent="0.25">
      <c r="A29" s="16" t="s">
        <v>0</v>
      </c>
      <c r="B29" s="16" t="s">
        <v>39</v>
      </c>
      <c r="C29" s="16" t="s">
        <v>8</v>
      </c>
      <c r="D29" s="16" t="s">
        <v>6</v>
      </c>
      <c r="E29" s="16" t="s">
        <v>3</v>
      </c>
      <c r="F29" s="16">
        <v>1872</v>
      </c>
      <c r="G29" s="16">
        <v>4094</v>
      </c>
      <c r="H29" s="16" t="s">
        <v>4</v>
      </c>
      <c r="I29" s="17">
        <v>31306</v>
      </c>
      <c r="J29" s="16" t="s">
        <v>652</v>
      </c>
      <c r="K29" s="16" t="s">
        <v>653</v>
      </c>
      <c r="L29" s="50" t="str">
        <f>VLOOKUP(Table1[[#This Row],[STUDENT COUNT]],RNG_STUDENT_CATEGORY,2,TRUE)</f>
        <v>Medium</v>
      </c>
      <c r="M29" s="50" t="str">
        <f>_xlfn.XLOOKUP(Table1[[#This Row],[CATEGORY OF STUDENT ASSO]],CATEGORY!$D$11:$D$15,CATEGORY!$B$11:$B$15)</f>
        <v>3001 to 5000</v>
      </c>
    </row>
    <row r="30" spans="1:13" x14ac:dyDescent="0.25">
      <c r="A30" s="16" t="s">
        <v>0</v>
      </c>
      <c r="B30" s="16" t="s">
        <v>40</v>
      </c>
      <c r="C30" s="16" t="s">
        <v>1</v>
      </c>
      <c r="D30" s="16" t="s">
        <v>6</v>
      </c>
      <c r="E30" s="16" t="s">
        <v>3</v>
      </c>
      <c r="F30" s="16">
        <v>2620</v>
      </c>
      <c r="G30" s="16">
        <v>7942</v>
      </c>
      <c r="H30" s="16" t="s">
        <v>4</v>
      </c>
      <c r="I30" s="17">
        <v>29418</v>
      </c>
      <c r="J30" s="16" t="s">
        <v>654</v>
      </c>
      <c r="K30" s="16" t="s">
        <v>655</v>
      </c>
      <c r="L30" s="50" t="str">
        <f>VLOOKUP(Table1[[#This Row],[STUDENT COUNT]],RNG_STUDENT_CATEGORY,2,TRUE)</f>
        <v>Large</v>
      </c>
      <c r="M30" s="50" t="str">
        <f>_xlfn.XLOOKUP(Table1[[#This Row],[CATEGORY OF STUDENT ASSO]],CATEGORY!$D$11:$D$15,CATEGORY!$B$11:$B$15)</f>
        <v>5001 to 10000</v>
      </c>
    </row>
    <row r="31" spans="1:13" x14ac:dyDescent="0.25">
      <c r="A31" s="16" t="s">
        <v>0</v>
      </c>
      <c r="B31" s="16" t="s">
        <v>41</v>
      </c>
      <c r="C31" s="16" t="s">
        <v>1</v>
      </c>
      <c r="D31" s="16" t="s">
        <v>6</v>
      </c>
      <c r="E31" s="16" t="s">
        <v>3</v>
      </c>
      <c r="F31" s="16">
        <v>968</v>
      </c>
      <c r="G31" s="16">
        <v>3406</v>
      </c>
      <c r="H31" s="16" t="s">
        <v>4</v>
      </c>
      <c r="I31" s="17">
        <v>35947</v>
      </c>
      <c r="J31" s="16" t="s">
        <v>650</v>
      </c>
      <c r="K31" s="16" t="s">
        <v>651</v>
      </c>
      <c r="L31" s="50" t="str">
        <f>VLOOKUP(Table1[[#This Row],[STUDENT COUNT]],RNG_STUDENT_CATEGORY,2,TRUE)</f>
        <v>Medium</v>
      </c>
      <c r="M31" s="50" t="str">
        <f>_xlfn.XLOOKUP(Table1[[#This Row],[CATEGORY OF STUDENT ASSO]],CATEGORY!$D$11:$D$15,CATEGORY!$B$11:$B$15)</f>
        <v>3001 to 5000</v>
      </c>
    </row>
    <row r="32" spans="1:13" x14ac:dyDescent="0.25">
      <c r="A32" s="16" t="s">
        <v>0</v>
      </c>
      <c r="B32" s="16" t="s">
        <v>42</v>
      </c>
      <c r="C32" s="16" t="s">
        <v>1</v>
      </c>
      <c r="D32" s="16" t="s">
        <v>6</v>
      </c>
      <c r="E32" s="16" t="s">
        <v>3</v>
      </c>
      <c r="F32" s="16">
        <v>1319</v>
      </c>
      <c r="G32" s="16">
        <v>3351</v>
      </c>
      <c r="H32" s="16" t="s">
        <v>4</v>
      </c>
      <c r="I32" s="17">
        <v>31402</v>
      </c>
      <c r="J32" s="16" t="s">
        <v>652</v>
      </c>
      <c r="K32" s="16" t="s">
        <v>653</v>
      </c>
      <c r="L32" s="50" t="str">
        <f>VLOOKUP(Table1[[#This Row],[STUDENT COUNT]],RNG_STUDENT_CATEGORY,2,TRUE)</f>
        <v>Medium</v>
      </c>
      <c r="M32" s="50" t="str">
        <f>_xlfn.XLOOKUP(Table1[[#This Row],[CATEGORY OF STUDENT ASSO]],CATEGORY!$D$11:$D$15,CATEGORY!$B$11:$B$15)</f>
        <v>3001 to 5000</v>
      </c>
    </row>
    <row r="33" spans="1:13" x14ac:dyDescent="0.25">
      <c r="A33" s="16" t="s">
        <v>0</v>
      </c>
      <c r="B33" s="16" t="s">
        <v>43</v>
      </c>
      <c r="C33" s="16" t="s">
        <v>1</v>
      </c>
      <c r="D33" s="16" t="s">
        <v>6</v>
      </c>
      <c r="E33" s="16" t="s">
        <v>3</v>
      </c>
      <c r="F33" s="16">
        <v>738</v>
      </c>
      <c r="G33" s="16">
        <v>3215</v>
      </c>
      <c r="H33" s="16" t="s">
        <v>4</v>
      </c>
      <c r="I33" s="17">
        <v>36094</v>
      </c>
      <c r="J33" s="16" t="s">
        <v>650</v>
      </c>
      <c r="K33" s="16" t="s">
        <v>651</v>
      </c>
      <c r="L33" s="50" t="str">
        <f>VLOOKUP(Table1[[#This Row],[STUDENT COUNT]],RNG_STUDENT_CATEGORY,2,TRUE)</f>
        <v>Medium</v>
      </c>
      <c r="M33" s="50" t="str">
        <f>_xlfn.XLOOKUP(Table1[[#This Row],[CATEGORY OF STUDENT ASSO]],CATEGORY!$D$11:$D$15,CATEGORY!$B$11:$B$15)</f>
        <v>3001 to 5000</v>
      </c>
    </row>
    <row r="34" spans="1:13" x14ac:dyDescent="0.25">
      <c r="A34" s="16" t="s">
        <v>0</v>
      </c>
      <c r="B34" s="16" t="s">
        <v>44</v>
      </c>
      <c r="C34" s="16" t="s">
        <v>1</v>
      </c>
      <c r="D34" s="16" t="s">
        <v>6</v>
      </c>
      <c r="E34" s="16" t="s">
        <v>3</v>
      </c>
      <c r="F34" s="16">
        <v>622</v>
      </c>
      <c r="G34" s="16">
        <v>2186</v>
      </c>
      <c r="H34" s="16" t="s">
        <v>4</v>
      </c>
      <c r="I34" s="17">
        <v>36612</v>
      </c>
      <c r="J34" s="16" t="s">
        <v>650</v>
      </c>
      <c r="K34" s="16" t="s">
        <v>651</v>
      </c>
      <c r="L34" s="50" t="str">
        <f>VLOOKUP(Table1[[#This Row],[STUDENT COUNT]],RNG_STUDENT_CATEGORY,2,TRUE)</f>
        <v>Small</v>
      </c>
      <c r="M34" s="50" t="str">
        <f>_xlfn.XLOOKUP(Table1[[#This Row],[CATEGORY OF STUDENT ASSO]],CATEGORY!$D$11:$D$15,CATEGORY!$B$11:$B$15)</f>
        <v>10001 to 3000</v>
      </c>
    </row>
    <row r="35" spans="1:13" x14ac:dyDescent="0.25">
      <c r="A35" s="16" t="s">
        <v>0</v>
      </c>
      <c r="B35" s="16" t="s">
        <v>45</v>
      </c>
      <c r="C35" s="16" t="s">
        <v>1</v>
      </c>
      <c r="D35" s="16" t="s">
        <v>6</v>
      </c>
      <c r="E35" s="16" t="s">
        <v>3</v>
      </c>
      <c r="F35" s="16">
        <v>4700</v>
      </c>
      <c r="G35" s="16">
        <v>6325</v>
      </c>
      <c r="H35" s="16" t="s">
        <v>10</v>
      </c>
      <c r="I35" s="17">
        <v>33256</v>
      </c>
      <c r="J35" s="16" t="s">
        <v>654</v>
      </c>
      <c r="K35" s="16" t="s">
        <v>655</v>
      </c>
      <c r="L35" s="50" t="str">
        <f>VLOOKUP(Table1[[#This Row],[STUDENT COUNT]],RNG_STUDENT_CATEGORY,2,TRUE)</f>
        <v>Large</v>
      </c>
      <c r="M35" s="50" t="str">
        <f>_xlfn.XLOOKUP(Table1[[#This Row],[CATEGORY OF STUDENT ASSO]],CATEGORY!$D$11:$D$15,CATEGORY!$B$11:$B$15)</f>
        <v>5001 to 10000</v>
      </c>
    </row>
    <row r="36" spans="1:13" x14ac:dyDescent="0.25">
      <c r="A36" s="16" t="s">
        <v>0</v>
      </c>
      <c r="B36" s="16" t="s">
        <v>46</v>
      </c>
      <c r="C36" s="16" t="s">
        <v>8</v>
      </c>
      <c r="D36" s="16" t="s">
        <v>6</v>
      </c>
      <c r="E36" s="16" t="s">
        <v>3</v>
      </c>
      <c r="F36" s="16">
        <v>399</v>
      </c>
      <c r="G36" s="16">
        <v>1206</v>
      </c>
      <c r="H36" s="16" t="s">
        <v>4</v>
      </c>
      <c r="I36" s="17">
        <v>40191</v>
      </c>
      <c r="J36" s="16" t="s">
        <v>648</v>
      </c>
      <c r="K36" s="16" t="s">
        <v>649</v>
      </c>
      <c r="L36" s="50" t="str">
        <f>VLOOKUP(Table1[[#This Row],[STUDENT COUNT]],RNG_STUDENT_CATEGORY,2,TRUE)</f>
        <v>Small</v>
      </c>
      <c r="M36" s="50" t="str">
        <f>_xlfn.XLOOKUP(Table1[[#This Row],[CATEGORY OF STUDENT ASSO]],CATEGORY!$D$11:$D$15,CATEGORY!$B$11:$B$15)</f>
        <v>10001 to 3000</v>
      </c>
    </row>
    <row r="37" spans="1:13" x14ac:dyDescent="0.25">
      <c r="A37" s="16" t="s">
        <v>0</v>
      </c>
      <c r="B37" s="16" t="s">
        <v>47</v>
      </c>
      <c r="C37" s="16" t="s">
        <v>48</v>
      </c>
      <c r="D37" s="16" t="s">
        <v>6</v>
      </c>
      <c r="E37" s="16" t="s">
        <v>3</v>
      </c>
      <c r="F37" s="16">
        <v>1622</v>
      </c>
      <c r="G37" s="16">
        <v>9987</v>
      </c>
      <c r="H37" s="16" t="s">
        <v>4</v>
      </c>
      <c r="I37" s="17">
        <v>30207</v>
      </c>
      <c r="J37" s="16" t="s">
        <v>652</v>
      </c>
      <c r="K37" s="16" t="s">
        <v>653</v>
      </c>
      <c r="L37" s="50" t="str">
        <f>VLOOKUP(Table1[[#This Row],[STUDENT COUNT]],RNG_STUDENT_CATEGORY,2,TRUE)</f>
        <v>Large</v>
      </c>
      <c r="M37" s="50" t="str">
        <f>_xlfn.XLOOKUP(Table1[[#This Row],[CATEGORY OF STUDENT ASSO]],CATEGORY!$D$11:$D$15,CATEGORY!$B$11:$B$15)</f>
        <v>5001 to 10000</v>
      </c>
    </row>
    <row r="38" spans="1:13" x14ac:dyDescent="0.25">
      <c r="A38" s="16" t="s">
        <v>0</v>
      </c>
      <c r="B38" s="16" t="s">
        <v>49</v>
      </c>
      <c r="C38" s="16" t="s">
        <v>17</v>
      </c>
      <c r="D38" s="16" t="s">
        <v>6</v>
      </c>
      <c r="E38" s="16" t="s">
        <v>3</v>
      </c>
      <c r="F38" s="16">
        <v>2108</v>
      </c>
      <c r="G38" s="16">
        <v>5351</v>
      </c>
      <c r="H38" s="16" t="s">
        <v>4</v>
      </c>
      <c r="I38" s="17">
        <v>29684</v>
      </c>
      <c r="J38" s="16" t="s">
        <v>652</v>
      </c>
      <c r="K38" s="16" t="s">
        <v>653</v>
      </c>
      <c r="L38" s="50" t="str">
        <f>VLOOKUP(Table1[[#This Row],[STUDENT COUNT]],RNG_STUDENT_CATEGORY,2,TRUE)</f>
        <v>Large</v>
      </c>
      <c r="M38" s="50" t="str">
        <f>_xlfn.XLOOKUP(Table1[[#This Row],[CATEGORY OF STUDENT ASSO]],CATEGORY!$D$11:$D$15,CATEGORY!$B$11:$B$15)</f>
        <v>5001 to 10000</v>
      </c>
    </row>
    <row r="39" spans="1:13" x14ac:dyDescent="0.25">
      <c r="A39" s="16" t="s">
        <v>0</v>
      </c>
      <c r="B39" s="16" t="s">
        <v>50</v>
      </c>
      <c r="C39" s="16" t="s">
        <v>28</v>
      </c>
      <c r="D39" s="16" t="s">
        <v>6</v>
      </c>
      <c r="E39" s="16" t="s">
        <v>3</v>
      </c>
      <c r="F39" s="16">
        <v>1405</v>
      </c>
      <c r="G39" s="16">
        <v>4942</v>
      </c>
      <c r="H39" s="16" t="s">
        <v>4</v>
      </c>
      <c r="I39" s="17">
        <v>31822</v>
      </c>
      <c r="J39" s="16" t="s">
        <v>652</v>
      </c>
      <c r="K39" s="16" t="s">
        <v>653</v>
      </c>
      <c r="L39" s="50" t="str">
        <f>VLOOKUP(Table1[[#This Row],[STUDENT COUNT]],RNG_STUDENT_CATEGORY,2,TRUE)</f>
        <v>Medium</v>
      </c>
      <c r="M39" s="50" t="str">
        <f>_xlfn.XLOOKUP(Table1[[#This Row],[CATEGORY OF STUDENT ASSO]],CATEGORY!$D$11:$D$15,CATEGORY!$B$11:$B$15)</f>
        <v>3001 to 5000</v>
      </c>
    </row>
    <row r="40" spans="1:13" x14ac:dyDescent="0.25">
      <c r="A40" s="16" t="s">
        <v>0</v>
      </c>
      <c r="B40" s="16" t="s">
        <v>51</v>
      </c>
      <c r="C40" s="16" t="s">
        <v>20</v>
      </c>
      <c r="D40" s="16" t="s">
        <v>6</v>
      </c>
      <c r="E40" s="16" t="s">
        <v>3</v>
      </c>
      <c r="F40" s="16">
        <v>453</v>
      </c>
      <c r="G40" s="16">
        <v>1297</v>
      </c>
      <c r="H40" s="16" t="s">
        <v>4</v>
      </c>
      <c r="I40" s="17">
        <v>40191</v>
      </c>
      <c r="J40" s="16" t="s">
        <v>648</v>
      </c>
      <c r="K40" s="16" t="s">
        <v>649</v>
      </c>
      <c r="L40" s="50" t="str">
        <f>VLOOKUP(Table1[[#This Row],[STUDENT COUNT]],RNG_STUDENT_CATEGORY,2,TRUE)</f>
        <v>Small</v>
      </c>
      <c r="M40" s="50" t="str">
        <f>_xlfn.XLOOKUP(Table1[[#This Row],[CATEGORY OF STUDENT ASSO]],CATEGORY!$D$11:$D$15,CATEGORY!$B$11:$B$15)</f>
        <v>10001 to 3000</v>
      </c>
    </row>
    <row r="41" spans="1:13" x14ac:dyDescent="0.25">
      <c r="A41" s="16" t="s">
        <v>0</v>
      </c>
      <c r="B41" s="16" t="s">
        <v>52</v>
      </c>
      <c r="C41" s="16" t="s">
        <v>1</v>
      </c>
      <c r="D41" s="16" t="s">
        <v>6</v>
      </c>
      <c r="E41" s="16" t="s">
        <v>3</v>
      </c>
      <c r="F41" s="16">
        <v>439</v>
      </c>
      <c r="G41" s="16">
        <v>1378</v>
      </c>
      <c r="H41" s="16" t="s">
        <v>10</v>
      </c>
      <c r="I41" s="17">
        <v>36612</v>
      </c>
      <c r="J41" s="16" t="s">
        <v>648</v>
      </c>
      <c r="K41" s="16" t="s">
        <v>649</v>
      </c>
      <c r="L41" s="50" t="str">
        <f>VLOOKUP(Table1[[#This Row],[STUDENT COUNT]],RNG_STUDENT_CATEGORY,2,TRUE)</f>
        <v>Small</v>
      </c>
      <c r="M41" s="50" t="str">
        <f>_xlfn.XLOOKUP(Table1[[#This Row],[CATEGORY OF STUDENT ASSO]],CATEGORY!$D$11:$D$15,CATEGORY!$B$11:$B$15)</f>
        <v>10001 to 3000</v>
      </c>
    </row>
    <row r="42" spans="1:13" x14ac:dyDescent="0.25">
      <c r="A42" s="16" t="s">
        <v>0</v>
      </c>
      <c r="B42" s="16" t="s">
        <v>53</v>
      </c>
      <c r="C42" s="16" t="s">
        <v>8</v>
      </c>
      <c r="D42" s="16" t="s">
        <v>6</v>
      </c>
      <c r="E42" s="16" t="s">
        <v>3</v>
      </c>
      <c r="F42" s="16">
        <v>850</v>
      </c>
      <c r="G42" s="16">
        <v>2790</v>
      </c>
      <c r="H42" s="16" t="s">
        <v>10</v>
      </c>
      <c r="I42" s="17">
        <v>41426</v>
      </c>
      <c r="J42" s="16" t="s">
        <v>650</v>
      </c>
      <c r="K42" s="16" t="s">
        <v>651</v>
      </c>
      <c r="L42" s="50" t="str">
        <f>VLOOKUP(Table1[[#This Row],[STUDENT COUNT]],RNG_STUDENT_CATEGORY,2,TRUE)</f>
        <v>Small</v>
      </c>
      <c r="M42" s="50" t="str">
        <f>_xlfn.XLOOKUP(Table1[[#This Row],[CATEGORY OF STUDENT ASSO]],CATEGORY!$D$11:$D$15,CATEGORY!$B$11:$B$15)</f>
        <v>10001 to 3000</v>
      </c>
    </row>
    <row r="43" spans="1:13" x14ac:dyDescent="0.25">
      <c r="A43" s="16" t="s">
        <v>0</v>
      </c>
      <c r="B43" s="16" t="s">
        <v>54</v>
      </c>
      <c r="C43" s="16" t="s">
        <v>8</v>
      </c>
      <c r="D43" s="16" t="s">
        <v>6</v>
      </c>
      <c r="E43" s="16" t="s">
        <v>3</v>
      </c>
      <c r="F43" s="16">
        <v>479</v>
      </c>
      <c r="G43" s="16">
        <v>802</v>
      </c>
      <c r="H43" s="16" t="s">
        <v>10</v>
      </c>
      <c r="I43" s="17">
        <v>40191</v>
      </c>
      <c r="J43" s="16" t="s">
        <v>648</v>
      </c>
      <c r="K43" s="16" t="s">
        <v>649</v>
      </c>
      <c r="L43" s="50" t="str">
        <f>VLOOKUP(Table1[[#This Row],[STUDENT COUNT]],RNG_STUDENT_CATEGORY,2,TRUE)</f>
        <v>Micro</v>
      </c>
      <c r="M43" s="50" t="str">
        <f>_xlfn.XLOOKUP(Table1[[#This Row],[CATEGORY OF STUDENT ASSO]],CATEGORY!$D$11:$D$15,CATEGORY!$B$11:$B$15)</f>
        <v>1 to 1000</v>
      </c>
    </row>
    <row r="44" spans="1:13" x14ac:dyDescent="0.25">
      <c r="A44" s="16" t="s">
        <v>0</v>
      </c>
      <c r="B44" s="16" t="s">
        <v>55</v>
      </c>
      <c r="C44" s="16" t="s">
        <v>8</v>
      </c>
      <c r="D44" s="16" t="s">
        <v>6</v>
      </c>
      <c r="E44" s="16" t="s">
        <v>3</v>
      </c>
      <c r="F44" s="16">
        <v>2188</v>
      </c>
      <c r="G44" s="16">
        <v>3803</v>
      </c>
      <c r="H44" s="16" t="s">
        <v>4</v>
      </c>
      <c r="I44" s="17">
        <v>30701</v>
      </c>
      <c r="J44" s="16" t="s">
        <v>652</v>
      </c>
      <c r="K44" s="16" t="s">
        <v>653</v>
      </c>
      <c r="L44" s="50" t="str">
        <f>VLOOKUP(Table1[[#This Row],[STUDENT COUNT]],RNG_STUDENT_CATEGORY,2,TRUE)</f>
        <v>Medium</v>
      </c>
      <c r="M44" s="50" t="str">
        <f>_xlfn.XLOOKUP(Table1[[#This Row],[CATEGORY OF STUDENT ASSO]],CATEGORY!$D$11:$D$15,CATEGORY!$B$11:$B$15)</f>
        <v>3001 to 5000</v>
      </c>
    </row>
    <row r="45" spans="1:13" x14ac:dyDescent="0.25">
      <c r="A45" s="16" t="s">
        <v>0</v>
      </c>
      <c r="B45" s="16" t="s">
        <v>56</v>
      </c>
      <c r="C45" s="16" t="s">
        <v>20</v>
      </c>
      <c r="D45" s="16" t="s">
        <v>6</v>
      </c>
      <c r="E45" s="16" t="s">
        <v>3</v>
      </c>
      <c r="F45" s="16">
        <v>799</v>
      </c>
      <c r="G45" s="16">
        <v>2466</v>
      </c>
      <c r="H45" s="16" t="s">
        <v>10</v>
      </c>
      <c r="I45" s="17">
        <v>38191</v>
      </c>
      <c r="J45" s="16" t="s">
        <v>650</v>
      </c>
      <c r="K45" s="16" t="s">
        <v>651</v>
      </c>
      <c r="L45" s="50" t="str">
        <f>VLOOKUP(Table1[[#This Row],[STUDENT COUNT]],RNG_STUDENT_CATEGORY,2,TRUE)</f>
        <v>Small</v>
      </c>
      <c r="M45" s="50" t="str">
        <f>_xlfn.XLOOKUP(Table1[[#This Row],[CATEGORY OF STUDENT ASSO]],CATEGORY!$D$11:$D$15,CATEGORY!$B$11:$B$15)</f>
        <v>10001 to 3000</v>
      </c>
    </row>
    <row r="46" spans="1:13" x14ac:dyDescent="0.25">
      <c r="A46" s="16" t="s">
        <v>0</v>
      </c>
      <c r="B46" s="16" t="s">
        <v>57</v>
      </c>
      <c r="C46" s="16" t="s">
        <v>1</v>
      </c>
      <c r="D46" s="16" t="s">
        <v>6</v>
      </c>
      <c r="E46" s="16" t="s">
        <v>3</v>
      </c>
      <c r="F46" s="16">
        <v>924</v>
      </c>
      <c r="G46" s="16">
        <v>4064</v>
      </c>
      <c r="H46" s="16" t="s">
        <v>4</v>
      </c>
      <c r="I46" s="17">
        <v>32494</v>
      </c>
      <c r="J46" s="16" t="s">
        <v>650</v>
      </c>
      <c r="K46" s="16" t="s">
        <v>651</v>
      </c>
      <c r="L46" s="50" t="str">
        <f>VLOOKUP(Table1[[#This Row],[STUDENT COUNT]],RNG_STUDENT_CATEGORY,2,TRUE)</f>
        <v>Medium</v>
      </c>
      <c r="M46" s="50" t="str">
        <f>_xlfn.XLOOKUP(Table1[[#This Row],[CATEGORY OF STUDENT ASSO]],CATEGORY!$D$11:$D$15,CATEGORY!$B$11:$B$15)</f>
        <v>3001 to 5000</v>
      </c>
    </row>
    <row r="47" spans="1:13" hidden="1" x14ac:dyDescent="0.25">
      <c r="A47" s="16" t="s">
        <v>0</v>
      </c>
      <c r="B47" s="16" t="s">
        <v>58</v>
      </c>
      <c r="C47" s="16" t="s">
        <v>25</v>
      </c>
      <c r="D47" s="16" t="s">
        <v>6</v>
      </c>
      <c r="E47" s="16" t="s">
        <v>26</v>
      </c>
      <c r="F47" s="16">
        <v>451</v>
      </c>
      <c r="G47" s="16">
        <v>1807</v>
      </c>
      <c r="H47" s="16" t="s">
        <v>10</v>
      </c>
      <c r="I47" s="17">
        <v>42045</v>
      </c>
      <c r="J47" s="16" t="s">
        <v>648</v>
      </c>
      <c r="K47" s="16" t="s">
        <v>649</v>
      </c>
      <c r="L47" s="50"/>
      <c r="M47" s="50"/>
    </row>
    <row r="48" spans="1:13" hidden="1" x14ac:dyDescent="0.25">
      <c r="A48" s="16" t="s">
        <v>0</v>
      </c>
      <c r="B48" s="16" t="s">
        <v>59</v>
      </c>
      <c r="C48" s="16" t="s">
        <v>25</v>
      </c>
      <c r="D48" s="16" t="s">
        <v>6</v>
      </c>
      <c r="E48" s="16" t="s">
        <v>26</v>
      </c>
      <c r="F48" s="16">
        <v>414</v>
      </c>
      <c r="G48" s="16">
        <v>1611</v>
      </c>
      <c r="H48" s="16" t="s">
        <v>10</v>
      </c>
      <c r="I48" s="17">
        <v>42045</v>
      </c>
      <c r="J48" s="16" t="s">
        <v>648</v>
      </c>
      <c r="K48" s="16" t="s">
        <v>649</v>
      </c>
      <c r="L48" s="50"/>
      <c r="M48" s="50"/>
    </row>
    <row r="49" spans="1:13" hidden="1" x14ac:dyDescent="0.25">
      <c r="A49" s="16" t="s">
        <v>0</v>
      </c>
      <c r="B49" s="16" t="s">
        <v>60</v>
      </c>
      <c r="C49" s="16" t="s">
        <v>1</v>
      </c>
      <c r="D49" s="16" t="s">
        <v>6</v>
      </c>
      <c r="E49" s="16" t="s">
        <v>26</v>
      </c>
      <c r="F49" s="16">
        <v>263</v>
      </c>
      <c r="G49" s="16">
        <v>1335</v>
      </c>
      <c r="H49" s="16" t="s">
        <v>10</v>
      </c>
      <c r="I49" s="17">
        <v>43181</v>
      </c>
      <c r="J49" s="16" t="s">
        <v>648</v>
      </c>
      <c r="K49" s="16" t="s">
        <v>649</v>
      </c>
      <c r="L49" s="50"/>
      <c r="M49" s="50"/>
    </row>
    <row r="50" spans="1:13" hidden="1" x14ac:dyDescent="0.25">
      <c r="A50" s="16" t="s">
        <v>0</v>
      </c>
      <c r="B50" s="16" t="s">
        <v>61</v>
      </c>
      <c r="C50" s="16" t="s">
        <v>48</v>
      </c>
      <c r="D50" s="16" t="s">
        <v>6</v>
      </c>
      <c r="E50" s="16" t="s">
        <v>26</v>
      </c>
      <c r="F50" s="16">
        <v>332</v>
      </c>
      <c r="G50" s="16">
        <v>1883</v>
      </c>
      <c r="H50" s="16" t="s">
        <v>10</v>
      </c>
      <c r="I50" s="17">
        <v>44700</v>
      </c>
      <c r="J50" s="16" t="s">
        <v>648</v>
      </c>
      <c r="K50" s="16" t="s">
        <v>649</v>
      </c>
      <c r="L50" s="50"/>
      <c r="M50" s="50"/>
    </row>
    <row r="51" spans="1:13" hidden="1" x14ac:dyDescent="0.25">
      <c r="A51" s="16" t="s">
        <v>0</v>
      </c>
      <c r="B51" s="16" t="s">
        <v>62</v>
      </c>
      <c r="C51" s="16" t="s">
        <v>8</v>
      </c>
      <c r="D51" s="16" t="s">
        <v>6</v>
      </c>
      <c r="E51" s="16" t="s">
        <v>26</v>
      </c>
      <c r="F51" s="16">
        <v>292</v>
      </c>
      <c r="G51" s="16">
        <v>737</v>
      </c>
      <c r="H51" s="16" t="s">
        <v>10</v>
      </c>
      <c r="I51" s="17">
        <v>44701</v>
      </c>
      <c r="J51" s="16" t="s">
        <v>648</v>
      </c>
      <c r="K51" s="16" t="s">
        <v>649</v>
      </c>
      <c r="L51" s="50"/>
      <c r="M51" s="50"/>
    </row>
    <row r="52" spans="1:13" hidden="1" x14ac:dyDescent="0.25">
      <c r="A52" s="16" t="s">
        <v>0</v>
      </c>
      <c r="B52" s="16" t="s">
        <v>63</v>
      </c>
      <c r="C52" s="16" t="s">
        <v>20</v>
      </c>
      <c r="D52" s="16" t="s">
        <v>6</v>
      </c>
      <c r="E52" s="16" t="s">
        <v>26</v>
      </c>
      <c r="F52" s="16">
        <v>249</v>
      </c>
      <c r="G52" s="16">
        <v>1040</v>
      </c>
      <c r="H52" s="16" t="s">
        <v>10</v>
      </c>
      <c r="I52" s="17">
        <v>44944</v>
      </c>
      <c r="J52" s="16" t="s">
        <v>648</v>
      </c>
      <c r="K52" s="16" t="s">
        <v>649</v>
      </c>
      <c r="L52" s="50"/>
      <c r="M52" s="50"/>
    </row>
    <row r="53" spans="1:13" hidden="1" x14ac:dyDescent="0.25">
      <c r="A53" s="16" t="s">
        <v>0</v>
      </c>
      <c r="B53" s="16" t="s">
        <v>64</v>
      </c>
      <c r="C53" s="16" t="s">
        <v>20</v>
      </c>
      <c r="D53" s="16" t="s">
        <v>6</v>
      </c>
      <c r="E53" s="16" t="s">
        <v>26</v>
      </c>
      <c r="F53" s="16">
        <v>273</v>
      </c>
      <c r="G53" s="16">
        <v>844</v>
      </c>
      <c r="H53" s="16" t="s">
        <v>10</v>
      </c>
      <c r="I53" s="17">
        <v>45152</v>
      </c>
      <c r="J53" s="16" t="s">
        <v>648</v>
      </c>
      <c r="K53" s="16" t="s">
        <v>649</v>
      </c>
      <c r="L53" s="50"/>
      <c r="M53" s="50"/>
    </row>
    <row r="54" spans="1:13" hidden="1" x14ac:dyDescent="0.25">
      <c r="A54" s="16" t="s">
        <v>0</v>
      </c>
      <c r="B54" s="16" t="s">
        <v>65</v>
      </c>
      <c r="C54" s="16" t="s">
        <v>8</v>
      </c>
      <c r="D54" s="16" t="s">
        <v>6</v>
      </c>
      <c r="E54" s="16" t="s">
        <v>26</v>
      </c>
      <c r="F54" s="16">
        <v>286</v>
      </c>
      <c r="G54" s="16">
        <v>898</v>
      </c>
      <c r="H54" s="16" t="s">
        <v>10</v>
      </c>
      <c r="I54" s="17">
        <v>45152</v>
      </c>
      <c r="J54" s="16" t="s">
        <v>648</v>
      </c>
      <c r="K54" s="16" t="s">
        <v>649</v>
      </c>
      <c r="L54" s="50"/>
      <c r="M54" s="50"/>
    </row>
    <row r="55" spans="1:13" hidden="1" x14ac:dyDescent="0.25">
      <c r="A55" s="16" t="s">
        <v>0</v>
      </c>
      <c r="B55" s="16" t="s">
        <v>66</v>
      </c>
      <c r="C55" s="16" t="s">
        <v>48</v>
      </c>
      <c r="D55" s="16" t="s">
        <v>6</v>
      </c>
      <c r="E55" s="16" t="s">
        <v>26</v>
      </c>
      <c r="F55" s="16">
        <v>296</v>
      </c>
      <c r="G55" s="16">
        <v>2988</v>
      </c>
      <c r="H55" s="16" t="s">
        <v>10</v>
      </c>
      <c r="I55" s="17">
        <v>45294</v>
      </c>
      <c r="J55" s="16" t="s">
        <v>648</v>
      </c>
      <c r="K55" s="16" t="s">
        <v>649</v>
      </c>
      <c r="L55" s="50"/>
      <c r="M55" s="50"/>
    </row>
    <row r="56" spans="1:13" hidden="1" x14ac:dyDescent="0.25">
      <c r="A56" s="16" t="s">
        <v>0</v>
      </c>
      <c r="B56" s="16" t="s">
        <v>67</v>
      </c>
      <c r="C56" s="16" t="s">
        <v>20</v>
      </c>
      <c r="D56" s="16" t="s">
        <v>6</v>
      </c>
      <c r="E56" s="16" t="s">
        <v>26</v>
      </c>
      <c r="F56" s="16">
        <v>293</v>
      </c>
      <c r="G56" s="16">
        <v>830</v>
      </c>
      <c r="H56" s="16" t="s">
        <v>10</v>
      </c>
      <c r="I56" s="17">
        <v>45294</v>
      </c>
      <c r="J56" s="16" t="s">
        <v>648</v>
      </c>
      <c r="K56" s="16" t="s">
        <v>649</v>
      </c>
      <c r="L56" s="50"/>
      <c r="M56" s="50"/>
    </row>
    <row r="57" spans="1:13" hidden="1" x14ac:dyDescent="0.25">
      <c r="A57" s="16" t="s">
        <v>0</v>
      </c>
      <c r="B57" s="16" t="s">
        <v>68</v>
      </c>
      <c r="C57" s="16" t="s">
        <v>48</v>
      </c>
      <c r="D57" s="16" t="s">
        <v>6</v>
      </c>
      <c r="E57" s="16" t="s">
        <v>26</v>
      </c>
      <c r="F57" s="16">
        <v>241</v>
      </c>
      <c r="G57" s="16">
        <v>1661</v>
      </c>
      <c r="H57" s="16" t="s">
        <v>10</v>
      </c>
      <c r="I57" s="17">
        <v>45294</v>
      </c>
      <c r="J57" s="16" t="s">
        <v>648</v>
      </c>
      <c r="K57" s="16" t="s">
        <v>649</v>
      </c>
      <c r="L57" s="50"/>
      <c r="M57" s="50"/>
    </row>
    <row r="58" spans="1:13" hidden="1" x14ac:dyDescent="0.25">
      <c r="A58" s="16" t="s">
        <v>0</v>
      </c>
      <c r="B58" s="16" t="s">
        <v>69</v>
      </c>
      <c r="C58" s="16" t="s">
        <v>17</v>
      </c>
      <c r="D58" s="16" t="s">
        <v>6</v>
      </c>
      <c r="E58" s="16" t="s">
        <v>26</v>
      </c>
      <c r="F58" s="16">
        <v>234</v>
      </c>
      <c r="G58" s="16">
        <v>1095</v>
      </c>
      <c r="H58" s="16" t="s">
        <v>10</v>
      </c>
      <c r="I58" s="17">
        <v>45329</v>
      </c>
      <c r="J58" s="16" t="s">
        <v>648</v>
      </c>
      <c r="K58" s="16" t="s">
        <v>649</v>
      </c>
      <c r="L58" s="50"/>
      <c r="M58" s="50"/>
    </row>
    <row r="59" spans="1:13" hidden="1" x14ac:dyDescent="0.25">
      <c r="A59" s="16" t="s">
        <v>0</v>
      </c>
      <c r="B59" s="16" t="s">
        <v>70</v>
      </c>
      <c r="C59" s="16" t="s">
        <v>8</v>
      </c>
      <c r="D59" s="16" t="s">
        <v>6</v>
      </c>
      <c r="E59" s="16" t="s">
        <v>26</v>
      </c>
      <c r="F59" s="16">
        <v>243</v>
      </c>
      <c r="G59" s="16">
        <v>544</v>
      </c>
      <c r="H59" s="16" t="s">
        <v>10</v>
      </c>
      <c r="I59" s="17">
        <v>45407</v>
      </c>
      <c r="J59" s="16" t="s">
        <v>648</v>
      </c>
      <c r="K59" s="16" t="s">
        <v>649</v>
      </c>
      <c r="L59" s="50"/>
      <c r="M59" s="50"/>
    </row>
    <row r="60" spans="1:13" hidden="1" x14ac:dyDescent="0.25">
      <c r="A60" s="16" t="s">
        <v>0</v>
      </c>
      <c r="B60" s="16" t="s">
        <v>71</v>
      </c>
      <c r="C60" s="16" t="s">
        <v>8</v>
      </c>
      <c r="D60" s="16" t="s">
        <v>6</v>
      </c>
      <c r="E60" s="16" t="s">
        <v>26</v>
      </c>
      <c r="F60" s="16">
        <v>246</v>
      </c>
      <c r="G60" s="16">
        <v>872</v>
      </c>
      <c r="H60" s="16" t="s">
        <v>10</v>
      </c>
      <c r="I60" s="17">
        <v>45839</v>
      </c>
      <c r="J60" s="16" t="s">
        <v>648</v>
      </c>
      <c r="K60" s="16" t="s">
        <v>649</v>
      </c>
      <c r="L60" s="50"/>
      <c r="M60" s="50"/>
    </row>
    <row r="61" spans="1:13" hidden="1" x14ac:dyDescent="0.25">
      <c r="A61" s="16" t="s">
        <v>0</v>
      </c>
      <c r="B61" s="16" t="s">
        <v>72</v>
      </c>
      <c r="C61" s="16" t="s">
        <v>8</v>
      </c>
      <c r="D61" s="16" t="s">
        <v>6</v>
      </c>
      <c r="E61" s="16" t="s">
        <v>26</v>
      </c>
      <c r="F61" s="16">
        <v>578</v>
      </c>
      <c r="G61" s="16">
        <v>2181</v>
      </c>
      <c r="H61" s="16" t="s">
        <v>10</v>
      </c>
      <c r="I61" s="17">
        <v>45839</v>
      </c>
      <c r="J61" s="16" t="s">
        <v>650</v>
      </c>
      <c r="K61" s="16" t="s">
        <v>651</v>
      </c>
      <c r="L61" s="50"/>
      <c r="M61" s="50"/>
    </row>
    <row r="62" spans="1:13" x14ac:dyDescent="0.25">
      <c r="A62" s="16" t="s">
        <v>0</v>
      </c>
      <c r="B62" s="16" t="s">
        <v>73</v>
      </c>
      <c r="C62" s="16" t="s">
        <v>8</v>
      </c>
      <c r="D62" s="16" t="s">
        <v>6</v>
      </c>
      <c r="E62" s="16" t="s">
        <v>3</v>
      </c>
      <c r="F62" s="16">
        <v>369</v>
      </c>
      <c r="G62" s="16">
        <v>1675</v>
      </c>
      <c r="H62" s="16" t="s">
        <v>10</v>
      </c>
      <c r="I62" s="17">
        <v>45839</v>
      </c>
      <c r="J62" s="16" t="s">
        <v>648</v>
      </c>
      <c r="K62" s="16" t="s">
        <v>649</v>
      </c>
      <c r="L62" s="50" t="str">
        <f>VLOOKUP(Table1[[#This Row],[STUDENT COUNT]],RNG_STUDENT_CATEGORY,2,TRUE)</f>
        <v>Small</v>
      </c>
      <c r="M62" s="50" t="str">
        <f>_xlfn.XLOOKUP(Table1[[#This Row],[CATEGORY OF STUDENT ASSO]],CATEGORY!$D$11:$D$15,CATEGORY!$B$11:$B$15)</f>
        <v>10001 to 3000</v>
      </c>
    </row>
    <row r="63" spans="1:13" hidden="1" x14ac:dyDescent="0.25">
      <c r="A63" s="16" t="s">
        <v>0</v>
      </c>
      <c r="B63" s="16" t="s">
        <v>74</v>
      </c>
      <c r="C63" s="16" t="s">
        <v>8</v>
      </c>
      <c r="D63" s="16" t="s">
        <v>6</v>
      </c>
      <c r="E63" s="16" t="s">
        <v>26</v>
      </c>
      <c r="F63" s="16">
        <v>216</v>
      </c>
      <c r="G63" s="16">
        <v>749</v>
      </c>
      <c r="H63" s="16" t="s">
        <v>10</v>
      </c>
      <c r="I63" s="17">
        <v>45938</v>
      </c>
      <c r="J63" s="16" t="s">
        <v>648</v>
      </c>
      <c r="K63" s="16" t="s">
        <v>649</v>
      </c>
      <c r="L63" s="50"/>
      <c r="M63" s="50"/>
    </row>
    <row r="64" spans="1:13" hidden="1" x14ac:dyDescent="0.25">
      <c r="A64" s="16" t="s">
        <v>0</v>
      </c>
      <c r="B64" s="16" t="s">
        <v>75</v>
      </c>
      <c r="C64" s="16" t="s">
        <v>17</v>
      </c>
      <c r="D64" s="16" t="s">
        <v>6</v>
      </c>
      <c r="E64" s="16" t="s">
        <v>26</v>
      </c>
      <c r="F64" s="16">
        <v>200</v>
      </c>
      <c r="G64" s="16">
        <v>500</v>
      </c>
      <c r="H64" s="16" t="s">
        <v>10</v>
      </c>
      <c r="I64" s="17">
        <v>46059</v>
      </c>
      <c r="J64" s="16" t="s">
        <v>648</v>
      </c>
      <c r="K64" s="16" t="s">
        <v>649</v>
      </c>
      <c r="L64" s="50"/>
      <c r="M64" s="50"/>
    </row>
    <row r="65" spans="1:13" hidden="1" x14ac:dyDescent="0.25">
      <c r="A65" s="11" t="s">
        <v>76</v>
      </c>
      <c r="B65" s="11" t="s">
        <v>76</v>
      </c>
      <c r="C65" s="11" t="s">
        <v>77</v>
      </c>
      <c r="D65" s="11" t="s">
        <v>2</v>
      </c>
      <c r="E65" s="11" t="s">
        <v>3</v>
      </c>
      <c r="F65" s="11">
        <v>23409</v>
      </c>
      <c r="G65" s="11">
        <v>49840</v>
      </c>
      <c r="H65" s="11" t="s">
        <v>4</v>
      </c>
      <c r="I65" s="14"/>
      <c r="J65" s="11"/>
      <c r="K65" s="11"/>
      <c r="L65" s="50"/>
      <c r="M65" s="50"/>
    </row>
    <row r="66" spans="1:13" x14ac:dyDescent="0.25">
      <c r="A66" s="16" t="s">
        <v>76</v>
      </c>
      <c r="B66" s="16" t="s">
        <v>78</v>
      </c>
      <c r="C66" s="16" t="s">
        <v>77</v>
      </c>
      <c r="D66" s="16" t="s">
        <v>6</v>
      </c>
      <c r="E66" s="16" t="s">
        <v>3</v>
      </c>
      <c r="F66" s="16">
        <v>472</v>
      </c>
      <c r="G66" s="16">
        <v>1927</v>
      </c>
      <c r="H66" s="16" t="s">
        <v>4</v>
      </c>
      <c r="I66" s="17">
        <v>27282</v>
      </c>
      <c r="J66" s="16" t="s">
        <v>648</v>
      </c>
      <c r="K66" s="16" t="s">
        <v>649</v>
      </c>
      <c r="L66" s="50" t="str">
        <f>VLOOKUP(Table1[[#This Row],[STUDENT COUNT]],RNG_STUDENT_CATEGORY,2,TRUE)</f>
        <v>Small</v>
      </c>
      <c r="M66" s="50" t="str">
        <f>_xlfn.XLOOKUP(Table1[[#This Row],[CATEGORY OF STUDENT ASSO]],CATEGORY!$D$11:$D$15,CATEGORY!$B$11:$B$15)</f>
        <v>10001 to 3000</v>
      </c>
    </row>
    <row r="67" spans="1:13" x14ac:dyDescent="0.25">
      <c r="A67" s="16" t="s">
        <v>76</v>
      </c>
      <c r="B67" s="16" t="s">
        <v>79</v>
      </c>
      <c r="C67" s="16" t="s">
        <v>80</v>
      </c>
      <c r="D67" s="16" t="s">
        <v>6</v>
      </c>
      <c r="E67" s="16" t="s">
        <v>3</v>
      </c>
      <c r="F67" s="16">
        <v>1481</v>
      </c>
      <c r="G67" s="16">
        <v>4792</v>
      </c>
      <c r="H67" s="16" t="s">
        <v>4</v>
      </c>
      <c r="I67" s="17">
        <v>29114</v>
      </c>
      <c r="J67" s="16" t="s">
        <v>652</v>
      </c>
      <c r="K67" s="16" t="s">
        <v>653</v>
      </c>
      <c r="L67" s="50" t="str">
        <f>VLOOKUP(Table1[[#This Row],[STUDENT COUNT]],RNG_STUDENT_CATEGORY,2,TRUE)</f>
        <v>Medium</v>
      </c>
      <c r="M67" s="50" t="str">
        <f>_xlfn.XLOOKUP(Table1[[#This Row],[CATEGORY OF STUDENT ASSO]],CATEGORY!$D$11:$D$15,CATEGORY!$B$11:$B$15)</f>
        <v>3001 to 5000</v>
      </c>
    </row>
    <row r="68" spans="1:13" x14ac:dyDescent="0.25">
      <c r="A68" s="16" t="s">
        <v>76</v>
      </c>
      <c r="B68" s="16" t="s">
        <v>81</v>
      </c>
      <c r="C68" s="16" t="s">
        <v>80</v>
      </c>
      <c r="D68" s="16" t="s">
        <v>6</v>
      </c>
      <c r="E68" s="16" t="s">
        <v>3</v>
      </c>
      <c r="F68" s="16">
        <v>436</v>
      </c>
      <c r="G68" s="16">
        <v>1613</v>
      </c>
      <c r="H68" s="16" t="s">
        <v>4</v>
      </c>
      <c r="I68" s="17">
        <v>32862</v>
      </c>
      <c r="J68" s="16" t="s">
        <v>648</v>
      </c>
      <c r="K68" s="16" t="s">
        <v>649</v>
      </c>
      <c r="L68" s="50" t="str">
        <f>VLOOKUP(Table1[[#This Row],[STUDENT COUNT]],RNG_STUDENT_CATEGORY,2,TRUE)</f>
        <v>Small</v>
      </c>
      <c r="M68" s="50" t="str">
        <f>_xlfn.XLOOKUP(Table1[[#This Row],[CATEGORY OF STUDENT ASSO]],CATEGORY!$D$11:$D$15,CATEGORY!$B$11:$B$15)</f>
        <v>10001 to 3000</v>
      </c>
    </row>
    <row r="69" spans="1:13" x14ac:dyDescent="0.25">
      <c r="A69" s="16" t="s">
        <v>76</v>
      </c>
      <c r="B69" s="16" t="s">
        <v>82</v>
      </c>
      <c r="C69" s="16" t="s">
        <v>83</v>
      </c>
      <c r="D69" s="16" t="s">
        <v>6</v>
      </c>
      <c r="E69" s="16" t="s">
        <v>3</v>
      </c>
      <c r="F69" s="16">
        <v>174</v>
      </c>
      <c r="G69" s="16">
        <v>514</v>
      </c>
      <c r="H69" s="16" t="s">
        <v>10</v>
      </c>
      <c r="I69" s="17">
        <v>41642</v>
      </c>
      <c r="J69" s="16" t="s">
        <v>648</v>
      </c>
      <c r="K69" s="16" t="s">
        <v>649</v>
      </c>
      <c r="L69" s="50" t="str">
        <f>VLOOKUP(Table1[[#This Row],[STUDENT COUNT]],RNG_STUDENT_CATEGORY,2,TRUE)</f>
        <v>Micro</v>
      </c>
      <c r="M69" s="50" t="str">
        <f>_xlfn.XLOOKUP(Table1[[#This Row],[CATEGORY OF STUDENT ASSO]],CATEGORY!$D$11:$D$15,CATEGORY!$B$11:$B$15)</f>
        <v>1 to 1000</v>
      </c>
    </row>
    <row r="70" spans="1:13" x14ac:dyDescent="0.25">
      <c r="A70" s="16" t="s">
        <v>76</v>
      </c>
      <c r="B70" s="16" t="s">
        <v>84</v>
      </c>
      <c r="C70" s="16" t="s">
        <v>77</v>
      </c>
      <c r="D70" s="16" t="s">
        <v>6</v>
      </c>
      <c r="E70" s="16" t="s">
        <v>3</v>
      </c>
      <c r="F70" s="16">
        <v>396</v>
      </c>
      <c r="G70" s="16">
        <v>1682</v>
      </c>
      <c r="H70" s="16" t="s">
        <v>4</v>
      </c>
      <c r="I70" s="17">
        <v>32940</v>
      </c>
      <c r="J70" s="16" t="s">
        <v>648</v>
      </c>
      <c r="K70" s="16" t="s">
        <v>649</v>
      </c>
      <c r="L70" s="50" t="str">
        <f>VLOOKUP(Table1[[#This Row],[STUDENT COUNT]],RNG_STUDENT_CATEGORY,2,TRUE)</f>
        <v>Small</v>
      </c>
      <c r="M70" s="50" t="str">
        <f>_xlfn.XLOOKUP(Table1[[#This Row],[CATEGORY OF STUDENT ASSO]],CATEGORY!$D$11:$D$15,CATEGORY!$B$11:$B$15)</f>
        <v>10001 to 3000</v>
      </c>
    </row>
    <row r="71" spans="1:13" x14ac:dyDescent="0.25">
      <c r="A71" s="16" t="s">
        <v>76</v>
      </c>
      <c r="B71" s="16" t="s">
        <v>85</v>
      </c>
      <c r="C71" s="16" t="s">
        <v>83</v>
      </c>
      <c r="D71" s="16" t="s">
        <v>6</v>
      </c>
      <c r="E71" s="16" t="s">
        <v>3</v>
      </c>
      <c r="F71" s="16">
        <v>2204</v>
      </c>
      <c r="G71" s="16">
        <v>8092</v>
      </c>
      <c r="H71" s="16" t="s">
        <v>4</v>
      </c>
      <c r="I71" s="17">
        <v>28384</v>
      </c>
      <c r="J71" s="16" t="s">
        <v>652</v>
      </c>
      <c r="K71" s="16" t="s">
        <v>653</v>
      </c>
      <c r="L71" s="50" t="str">
        <f>VLOOKUP(Table1[[#This Row],[STUDENT COUNT]],RNG_STUDENT_CATEGORY,2,TRUE)</f>
        <v>Large</v>
      </c>
      <c r="M71" s="50" t="str">
        <f>_xlfn.XLOOKUP(Table1[[#This Row],[CATEGORY OF STUDENT ASSO]],CATEGORY!$D$11:$D$15,CATEGORY!$B$11:$B$15)</f>
        <v>5001 to 10000</v>
      </c>
    </row>
    <row r="72" spans="1:13" x14ac:dyDescent="0.25">
      <c r="A72" s="16" t="s">
        <v>76</v>
      </c>
      <c r="B72" s="16" t="s">
        <v>86</v>
      </c>
      <c r="C72" s="16" t="s">
        <v>77</v>
      </c>
      <c r="D72" s="16" t="s">
        <v>6</v>
      </c>
      <c r="E72" s="16" t="s">
        <v>3</v>
      </c>
      <c r="F72" s="16">
        <v>219</v>
      </c>
      <c r="G72" s="16">
        <v>701</v>
      </c>
      <c r="H72" s="16" t="s">
        <v>10</v>
      </c>
      <c r="I72" s="17">
        <v>41680</v>
      </c>
      <c r="J72" s="16" t="s">
        <v>648</v>
      </c>
      <c r="K72" s="16" t="s">
        <v>649</v>
      </c>
      <c r="L72" s="50" t="str">
        <f>VLOOKUP(Table1[[#This Row],[STUDENT COUNT]],RNG_STUDENT_CATEGORY,2,TRUE)</f>
        <v>Micro</v>
      </c>
      <c r="M72" s="50" t="str">
        <f>_xlfn.XLOOKUP(Table1[[#This Row],[CATEGORY OF STUDENT ASSO]],CATEGORY!$D$11:$D$15,CATEGORY!$B$11:$B$15)</f>
        <v>1 to 1000</v>
      </c>
    </row>
    <row r="73" spans="1:13" x14ac:dyDescent="0.25">
      <c r="A73" s="16" t="s">
        <v>76</v>
      </c>
      <c r="B73" s="16" t="s">
        <v>87</v>
      </c>
      <c r="C73" s="16" t="s">
        <v>80</v>
      </c>
      <c r="D73" s="16" t="s">
        <v>6</v>
      </c>
      <c r="E73" s="16" t="s">
        <v>3</v>
      </c>
      <c r="F73" s="16">
        <v>389</v>
      </c>
      <c r="G73" s="16">
        <v>1299</v>
      </c>
      <c r="H73" s="16" t="s">
        <v>10</v>
      </c>
      <c r="I73" s="17">
        <v>36144</v>
      </c>
      <c r="J73" s="16" t="s">
        <v>648</v>
      </c>
      <c r="K73" s="16" t="s">
        <v>649</v>
      </c>
      <c r="L73" s="50" t="str">
        <f>VLOOKUP(Table1[[#This Row],[STUDENT COUNT]],RNG_STUDENT_CATEGORY,2,TRUE)</f>
        <v>Small</v>
      </c>
      <c r="M73" s="50" t="str">
        <f>_xlfn.XLOOKUP(Table1[[#This Row],[CATEGORY OF STUDENT ASSO]],CATEGORY!$D$11:$D$15,CATEGORY!$B$11:$B$15)</f>
        <v>10001 to 3000</v>
      </c>
    </row>
    <row r="74" spans="1:13" x14ac:dyDescent="0.25">
      <c r="A74" s="16" t="s">
        <v>76</v>
      </c>
      <c r="B74" s="16" t="s">
        <v>88</v>
      </c>
      <c r="C74" s="16" t="s">
        <v>80</v>
      </c>
      <c r="D74" s="16" t="s">
        <v>6</v>
      </c>
      <c r="E74" s="16" t="s">
        <v>3</v>
      </c>
      <c r="F74" s="16">
        <v>374</v>
      </c>
      <c r="G74" s="16">
        <v>1103</v>
      </c>
      <c r="H74" s="16" t="s">
        <v>10</v>
      </c>
      <c r="I74" s="17">
        <v>38842</v>
      </c>
      <c r="J74" s="16" t="s">
        <v>648</v>
      </c>
      <c r="K74" s="16" t="s">
        <v>649</v>
      </c>
      <c r="L74" s="50" t="str">
        <f>VLOOKUP(Table1[[#This Row],[STUDENT COUNT]],RNG_STUDENT_CATEGORY,2,TRUE)</f>
        <v>Small</v>
      </c>
      <c r="M74" s="50" t="str">
        <f>_xlfn.XLOOKUP(Table1[[#This Row],[CATEGORY OF STUDENT ASSO]],CATEGORY!$D$11:$D$15,CATEGORY!$B$11:$B$15)</f>
        <v>10001 to 3000</v>
      </c>
    </row>
    <row r="75" spans="1:13" x14ac:dyDescent="0.25">
      <c r="A75" s="16" t="s">
        <v>76</v>
      </c>
      <c r="B75" s="16" t="s">
        <v>89</v>
      </c>
      <c r="C75" s="16" t="s">
        <v>77</v>
      </c>
      <c r="D75" s="16" t="s">
        <v>6</v>
      </c>
      <c r="E75" s="16" t="s">
        <v>3</v>
      </c>
      <c r="F75" s="16">
        <v>910</v>
      </c>
      <c r="G75" s="16">
        <v>2504</v>
      </c>
      <c r="H75" s="16" t="s">
        <v>4</v>
      </c>
      <c r="I75" s="17">
        <v>33147</v>
      </c>
      <c r="J75" s="16" t="s">
        <v>650</v>
      </c>
      <c r="K75" s="16" t="s">
        <v>651</v>
      </c>
      <c r="L75" s="50" t="str">
        <f>VLOOKUP(Table1[[#This Row],[STUDENT COUNT]],RNG_STUDENT_CATEGORY,2,TRUE)</f>
        <v>Small</v>
      </c>
      <c r="M75" s="50" t="str">
        <f>_xlfn.XLOOKUP(Table1[[#This Row],[CATEGORY OF STUDENT ASSO]],CATEGORY!$D$11:$D$15,CATEGORY!$B$11:$B$15)</f>
        <v>10001 to 3000</v>
      </c>
    </row>
    <row r="76" spans="1:13" x14ac:dyDescent="0.25">
      <c r="A76" s="16" t="s">
        <v>76</v>
      </c>
      <c r="B76" s="16" t="s">
        <v>90</v>
      </c>
      <c r="C76" s="16" t="s">
        <v>83</v>
      </c>
      <c r="D76" s="16" t="s">
        <v>6</v>
      </c>
      <c r="E76" s="16" t="s">
        <v>3</v>
      </c>
      <c r="F76" s="16">
        <v>220</v>
      </c>
      <c r="G76" s="16">
        <v>797</v>
      </c>
      <c r="H76" s="16" t="s">
        <v>10</v>
      </c>
      <c r="I76" s="17">
        <v>41642</v>
      </c>
      <c r="J76" s="16" t="s">
        <v>648</v>
      </c>
      <c r="K76" s="16" t="s">
        <v>649</v>
      </c>
      <c r="L76" s="50" t="str">
        <f>VLOOKUP(Table1[[#This Row],[STUDENT COUNT]],RNG_STUDENT_CATEGORY,2,TRUE)</f>
        <v>Micro</v>
      </c>
      <c r="M76" s="50" t="str">
        <f>_xlfn.XLOOKUP(Table1[[#This Row],[CATEGORY OF STUDENT ASSO]],CATEGORY!$D$11:$D$15,CATEGORY!$B$11:$B$15)</f>
        <v>1 to 1000</v>
      </c>
    </row>
    <row r="77" spans="1:13" hidden="1" x14ac:dyDescent="0.25">
      <c r="A77" s="16" t="s">
        <v>76</v>
      </c>
      <c r="B77" s="16" t="s">
        <v>91</v>
      </c>
      <c r="C77" s="16" t="s">
        <v>80</v>
      </c>
      <c r="D77" s="16" t="s">
        <v>6</v>
      </c>
      <c r="E77" s="16" t="s">
        <v>26</v>
      </c>
      <c r="F77" s="16">
        <v>143</v>
      </c>
      <c r="G77" s="16">
        <v>443</v>
      </c>
      <c r="H77" s="16" t="s">
        <v>10</v>
      </c>
      <c r="I77" s="17">
        <v>42592</v>
      </c>
      <c r="J77" s="16" t="s">
        <v>648</v>
      </c>
      <c r="K77" s="16" t="s">
        <v>649</v>
      </c>
      <c r="L77" s="50"/>
      <c r="M77" s="50"/>
    </row>
    <row r="78" spans="1:13" x14ac:dyDescent="0.25">
      <c r="A78" s="16" t="s">
        <v>76</v>
      </c>
      <c r="B78" s="16" t="s">
        <v>92</v>
      </c>
      <c r="C78" s="16" t="s">
        <v>80</v>
      </c>
      <c r="D78" s="16" t="s">
        <v>6</v>
      </c>
      <c r="E78" s="16" t="s">
        <v>3</v>
      </c>
      <c r="F78" s="16">
        <v>202</v>
      </c>
      <c r="G78" s="16">
        <v>1103</v>
      </c>
      <c r="H78" s="16" t="s">
        <v>10</v>
      </c>
      <c r="I78" s="17">
        <v>42630</v>
      </c>
      <c r="J78" s="16" t="s">
        <v>648</v>
      </c>
      <c r="K78" s="16" t="s">
        <v>649</v>
      </c>
      <c r="L78" s="50" t="str">
        <f>VLOOKUP(Table1[[#This Row],[STUDENT COUNT]],RNG_STUDENT_CATEGORY,2,TRUE)</f>
        <v>Small</v>
      </c>
      <c r="M78" s="50" t="str">
        <f>_xlfn.XLOOKUP(Table1[[#This Row],[CATEGORY OF STUDENT ASSO]],CATEGORY!$D$11:$D$15,CATEGORY!$B$11:$B$15)</f>
        <v>10001 to 3000</v>
      </c>
    </row>
    <row r="79" spans="1:13" hidden="1" x14ac:dyDescent="0.25">
      <c r="A79" s="11" t="s">
        <v>93</v>
      </c>
      <c r="B79" s="11" t="s">
        <v>93</v>
      </c>
      <c r="C79" s="11" t="s">
        <v>94</v>
      </c>
      <c r="D79" s="11" t="s">
        <v>2</v>
      </c>
      <c r="E79" s="11" t="s">
        <v>3</v>
      </c>
      <c r="F79" s="11">
        <v>44209</v>
      </c>
      <c r="G79" s="11">
        <v>90671</v>
      </c>
      <c r="H79" s="11" t="s">
        <v>4</v>
      </c>
      <c r="I79" s="14"/>
      <c r="J79" s="11"/>
      <c r="K79" s="11"/>
      <c r="L79" s="50"/>
      <c r="M79" s="50"/>
    </row>
    <row r="80" spans="1:13" x14ac:dyDescent="0.25">
      <c r="A80" s="16" t="s">
        <v>93</v>
      </c>
      <c r="B80" s="16" t="s">
        <v>95</v>
      </c>
      <c r="C80" s="16" t="s">
        <v>96</v>
      </c>
      <c r="D80" s="16" t="s">
        <v>6</v>
      </c>
      <c r="E80" s="16" t="s">
        <v>3</v>
      </c>
      <c r="F80" s="16">
        <v>1018</v>
      </c>
      <c r="G80" s="16">
        <v>2456</v>
      </c>
      <c r="H80" s="16" t="s">
        <v>4</v>
      </c>
      <c r="I80" s="17">
        <v>28749</v>
      </c>
      <c r="J80" s="16" t="s">
        <v>652</v>
      </c>
      <c r="K80" s="16" t="s">
        <v>653</v>
      </c>
      <c r="L80" s="50" t="str">
        <f>VLOOKUP(Table1[[#This Row],[STUDENT COUNT]],RNG_STUDENT_CATEGORY,2,TRUE)</f>
        <v>Small</v>
      </c>
      <c r="M80" s="50" t="str">
        <f>_xlfn.XLOOKUP(Table1[[#This Row],[CATEGORY OF STUDENT ASSO]],CATEGORY!$D$11:$D$15,CATEGORY!$B$11:$B$15)</f>
        <v>10001 to 3000</v>
      </c>
    </row>
    <row r="81" spans="1:13" x14ac:dyDescent="0.25">
      <c r="A81" s="16" t="s">
        <v>93</v>
      </c>
      <c r="B81" s="16" t="s">
        <v>97</v>
      </c>
      <c r="C81" s="16" t="s">
        <v>97</v>
      </c>
      <c r="D81" s="16" t="s">
        <v>6</v>
      </c>
      <c r="E81" s="16" t="s">
        <v>3</v>
      </c>
      <c r="F81" s="16">
        <v>3820</v>
      </c>
      <c r="G81" s="16">
        <v>6514</v>
      </c>
      <c r="H81" s="16" t="s">
        <v>4</v>
      </c>
      <c r="I81" s="17">
        <v>26999</v>
      </c>
      <c r="J81" s="16" t="s">
        <v>654</v>
      </c>
      <c r="K81" s="16" t="s">
        <v>655</v>
      </c>
      <c r="L81" s="50" t="str">
        <f>VLOOKUP(Table1[[#This Row],[STUDENT COUNT]],RNG_STUDENT_CATEGORY,2,TRUE)</f>
        <v>Large</v>
      </c>
      <c r="M81" s="50" t="str">
        <f>_xlfn.XLOOKUP(Table1[[#This Row],[CATEGORY OF STUDENT ASSO]],CATEGORY!$D$11:$D$15,CATEGORY!$B$11:$B$15)</f>
        <v>5001 to 10000</v>
      </c>
    </row>
    <row r="82" spans="1:13" x14ac:dyDescent="0.25">
      <c r="A82" s="16" t="s">
        <v>93</v>
      </c>
      <c r="B82" s="16" t="s">
        <v>98</v>
      </c>
      <c r="C82" s="16" t="s">
        <v>99</v>
      </c>
      <c r="D82" s="16" t="s">
        <v>6</v>
      </c>
      <c r="E82" s="16" t="s">
        <v>3</v>
      </c>
      <c r="F82" s="16">
        <v>3985</v>
      </c>
      <c r="G82" s="16">
        <v>10405</v>
      </c>
      <c r="H82" s="16" t="s">
        <v>4</v>
      </c>
      <c r="I82" s="17">
        <v>29313</v>
      </c>
      <c r="J82" s="16" t="s">
        <v>654</v>
      </c>
      <c r="K82" s="16" t="s">
        <v>655</v>
      </c>
      <c r="L82" s="50" t="str">
        <f>VLOOKUP(Table1[[#This Row],[STUDENT COUNT]],RNG_STUDENT_CATEGORY,2,TRUE)</f>
        <v>Mega</v>
      </c>
      <c r="M82" s="50" t="str">
        <f>_xlfn.XLOOKUP(Table1[[#This Row],[CATEGORY OF STUDENT ASSO]],CATEGORY!$D$11:$D$15,CATEGORY!$B$11:$B$15)</f>
        <v>&gt;10000</v>
      </c>
    </row>
    <row r="83" spans="1:13" hidden="1" x14ac:dyDescent="0.25">
      <c r="A83" s="16" t="s">
        <v>93</v>
      </c>
      <c r="B83" s="16" t="s">
        <v>100</v>
      </c>
      <c r="C83" s="16" t="s">
        <v>99</v>
      </c>
      <c r="D83" s="16" t="s">
        <v>6</v>
      </c>
      <c r="E83" s="16" t="s">
        <v>26</v>
      </c>
      <c r="F83" s="16">
        <v>1661</v>
      </c>
      <c r="G83" s="16">
        <v>5316</v>
      </c>
      <c r="H83" s="16" t="s">
        <v>4</v>
      </c>
      <c r="I83" s="17">
        <v>32365</v>
      </c>
      <c r="J83" s="16" t="s">
        <v>652</v>
      </c>
      <c r="K83" s="16" t="s">
        <v>653</v>
      </c>
      <c r="L83" s="50"/>
      <c r="M83" s="50"/>
    </row>
    <row r="84" spans="1:13" x14ac:dyDescent="0.25">
      <c r="A84" s="16" t="s">
        <v>93</v>
      </c>
      <c r="B84" s="16" t="s">
        <v>101</v>
      </c>
      <c r="C84" s="16" t="s">
        <v>96</v>
      </c>
      <c r="D84" s="16" t="s">
        <v>6</v>
      </c>
      <c r="E84" s="16" t="s">
        <v>3</v>
      </c>
      <c r="F84" s="16">
        <v>1425</v>
      </c>
      <c r="G84" s="16">
        <v>3974</v>
      </c>
      <c r="H84" s="16" t="s">
        <v>4</v>
      </c>
      <c r="I84" s="17">
        <v>29943</v>
      </c>
      <c r="J84" s="16" t="s">
        <v>652</v>
      </c>
      <c r="K84" s="16" t="s">
        <v>653</v>
      </c>
      <c r="L84" s="50" t="str">
        <f>VLOOKUP(Table1[[#This Row],[STUDENT COUNT]],RNG_STUDENT_CATEGORY,2,TRUE)</f>
        <v>Medium</v>
      </c>
      <c r="M84" s="50" t="str">
        <f>_xlfn.XLOOKUP(Table1[[#This Row],[CATEGORY OF STUDENT ASSO]],CATEGORY!$D$11:$D$15,CATEGORY!$B$11:$B$15)</f>
        <v>3001 to 5000</v>
      </c>
    </row>
    <row r="85" spans="1:13" hidden="1" x14ac:dyDescent="0.25">
      <c r="A85" s="16" t="s">
        <v>93</v>
      </c>
      <c r="B85" s="16" t="s">
        <v>102</v>
      </c>
      <c r="C85" s="16" t="s">
        <v>102</v>
      </c>
      <c r="D85" s="16" t="s">
        <v>6</v>
      </c>
      <c r="E85" s="16" t="s">
        <v>26</v>
      </c>
      <c r="F85" s="16">
        <v>892</v>
      </c>
      <c r="G85" s="16">
        <v>4275</v>
      </c>
      <c r="H85" s="16" t="s">
        <v>4</v>
      </c>
      <c r="I85" s="17">
        <v>31976</v>
      </c>
      <c r="J85" s="16" t="s">
        <v>650</v>
      </c>
      <c r="K85" s="16" t="s">
        <v>651</v>
      </c>
      <c r="L85" s="50"/>
      <c r="M85" s="50"/>
    </row>
    <row r="86" spans="1:13" x14ac:dyDescent="0.25">
      <c r="A86" s="16" t="s">
        <v>93</v>
      </c>
      <c r="B86" s="16" t="s">
        <v>103</v>
      </c>
      <c r="C86" s="16" t="s">
        <v>96</v>
      </c>
      <c r="D86" s="16" t="s">
        <v>6</v>
      </c>
      <c r="E86" s="16" t="s">
        <v>3</v>
      </c>
      <c r="F86" s="16">
        <v>2709</v>
      </c>
      <c r="G86" s="16">
        <v>5947</v>
      </c>
      <c r="H86" s="16" t="s">
        <v>4</v>
      </c>
      <c r="I86" s="17">
        <v>27282</v>
      </c>
      <c r="J86" s="16" t="s">
        <v>654</v>
      </c>
      <c r="K86" s="16" t="s">
        <v>655</v>
      </c>
      <c r="L86" s="50" t="str">
        <f>VLOOKUP(Table1[[#This Row],[STUDENT COUNT]],RNG_STUDENT_CATEGORY,2,TRUE)</f>
        <v>Large</v>
      </c>
      <c r="M86" s="50" t="str">
        <f>_xlfn.XLOOKUP(Table1[[#This Row],[CATEGORY OF STUDENT ASSO]],CATEGORY!$D$11:$D$15,CATEGORY!$B$11:$B$15)</f>
        <v>5001 to 10000</v>
      </c>
    </row>
    <row r="87" spans="1:13" hidden="1" x14ac:dyDescent="0.25">
      <c r="A87" s="16" t="s">
        <v>93</v>
      </c>
      <c r="B87" s="16" t="s">
        <v>104</v>
      </c>
      <c r="C87" s="16" t="s">
        <v>99</v>
      </c>
      <c r="D87" s="16" t="s">
        <v>6</v>
      </c>
      <c r="E87" s="16" t="s">
        <v>26</v>
      </c>
      <c r="F87" s="16">
        <v>758</v>
      </c>
      <c r="G87" s="16">
        <v>2363</v>
      </c>
      <c r="H87" s="16" t="s">
        <v>10</v>
      </c>
      <c r="I87" s="17">
        <v>35947</v>
      </c>
      <c r="J87" s="16" t="s">
        <v>650</v>
      </c>
      <c r="K87" s="16" t="s">
        <v>651</v>
      </c>
      <c r="L87" s="50"/>
      <c r="M87" s="50"/>
    </row>
    <row r="88" spans="1:13" hidden="1" x14ac:dyDescent="0.25">
      <c r="A88" s="16" t="s">
        <v>93</v>
      </c>
      <c r="B88" s="16" t="s">
        <v>105</v>
      </c>
      <c r="C88" s="16" t="s">
        <v>106</v>
      </c>
      <c r="D88" s="16" t="s">
        <v>6</v>
      </c>
      <c r="E88" s="16" t="s">
        <v>26</v>
      </c>
      <c r="F88" s="16">
        <v>672</v>
      </c>
      <c r="G88" s="16">
        <v>2994</v>
      </c>
      <c r="H88" s="16" t="s">
        <v>4</v>
      </c>
      <c r="I88" s="17">
        <v>32365</v>
      </c>
      <c r="J88" s="16" t="s">
        <v>650</v>
      </c>
      <c r="K88" s="16" t="s">
        <v>651</v>
      </c>
      <c r="L88" s="50"/>
      <c r="M88" s="50"/>
    </row>
    <row r="89" spans="1:13" hidden="1" x14ac:dyDescent="0.25">
      <c r="A89" s="16" t="s">
        <v>93</v>
      </c>
      <c r="B89" s="16" t="s">
        <v>107</v>
      </c>
      <c r="C89" s="16" t="s">
        <v>99</v>
      </c>
      <c r="D89" s="16" t="s">
        <v>6</v>
      </c>
      <c r="E89" s="16" t="s">
        <v>26</v>
      </c>
      <c r="F89" s="16">
        <v>687</v>
      </c>
      <c r="G89" s="16">
        <v>1737</v>
      </c>
      <c r="H89" s="16" t="s">
        <v>10</v>
      </c>
      <c r="I89" s="17">
        <v>38056</v>
      </c>
      <c r="J89" s="16" t="s">
        <v>650</v>
      </c>
      <c r="K89" s="16" t="s">
        <v>651</v>
      </c>
      <c r="L89" s="50"/>
      <c r="M89" s="50"/>
    </row>
    <row r="90" spans="1:13" hidden="1" x14ac:dyDescent="0.25">
      <c r="A90" s="16" t="s">
        <v>93</v>
      </c>
      <c r="B90" s="16" t="s">
        <v>108</v>
      </c>
      <c r="C90" s="16" t="s">
        <v>99</v>
      </c>
      <c r="D90" s="16" t="s">
        <v>6</v>
      </c>
      <c r="E90" s="16" t="s">
        <v>26</v>
      </c>
      <c r="F90" s="16">
        <v>479</v>
      </c>
      <c r="G90" s="16">
        <v>1253</v>
      </c>
      <c r="H90" s="16" t="s">
        <v>10</v>
      </c>
      <c r="I90" s="17">
        <v>31897</v>
      </c>
      <c r="J90" s="16" t="s">
        <v>648</v>
      </c>
      <c r="K90" s="16" t="s">
        <v>649</v>
      </c>
      <c r="L90" s="50"/>
      <c r="M90" s="50"/>
    </row>
    <row r="91" spans="1:13" x14ac:dyDescent="0.25">
      <c r="A91" s="16" t="s">
        <v>93</v>
      </c>
      <c r="B91" s="16" t="s">
        <v>109</v>
      </c>
      <c r="C91" s="16" t="s">
        <v>99</v>
      </c>
      <c r="D91" s="16" t="s">
        <v>6</v>
      </c>
      <c r="E91" s="16" t="s">
        <v>3</v>
      </c>
      <c r="F91" s="16">
        <v>12813</v>
      </c>
      <c r="G91" s="16">
        <v>8525</v>
      </c>
      <c r="H91" s="16" t="s">
        <v>4</v>
      </c>
      <c r="I91" s="17">
        <v>36219</v>
      </c>
      <c r="J91" s="16" t="s">
        <v>656</v>
      </c>
      <c r="K91" s="16" t="s">
        <v>657</v>
      </c>
      <c r="L91" s="50" t="str">
        <f>VLOOKUP(Table1[[#This Row],[STUDENT COUNT]],RNG_STUDENT_CATEGORY,2,TRUE)</f>
        <v>Large</v>
      </c>
      <c r="M91" s="50" t="str">
        <f>_xlfn.XLOOKUP(Table1[[#This Row],[CATEGORY OF STUDENT ASSO]],CATEGORY!$D$11:$D$15,CATEGORY!$B$11:$B$15)</f>
        <v>5001 to 10000</v>
      </c>
    </row>
    <row r="92" spans="1:13" x14ac:dyDescent="0.25">
      <c r="A92" s="16" t="s">
        <v>93</v>
      </c>
      <c r="B92" s="16" t="s">
        <v>110</v>
      </c>
      <c r="C92" s="16" t="s">
        <v>99</v>
      </c>
      <c r="D92" s="16" t="s">
        <v>6</v>
      </c>
      <c r="E92" s="16" t="s">
        <v>3</v>
      </c>
      <c r="F92" s="16">
        <v>978</v>
      </c>
      <c r="G92" s="16">
        <v>2579</v>
      </c>
      <c r="H92" s="16" t="s">
        <v>4</v>
      </c>
      <c r="I92" s="17">
        <v>36219</v>
      </c>
      <c r="J92" s="16" t="s">
        <v>650</v>
      </c>
      <c r="K92" s="16" t="s">
        <v>651</v>
      </c>
      <c r="L92" s="50" t="str">
        <f>VLOOKUP(Table1[[#This Row],[STUDENT COUNT]],RNG_STUDENT_CATEGORY,2,TRUE)</f>
        <v>Small</v>
      </c>
      <c r="M92" s="50" t="str">
        <f>_xlfn.XLOOKUP(Table1[[#This Row],[CATEGORY OF STUDENT ASSO]],CATEGORY!$D$11:$D$15,CATEGORY!$B$11:$B$15)</f>
        <v>10001 to 3000</v>
      </c>
    </row>
    <row r="93" spans="1:13" hidden="1" x14ac:dyDescent="0.25">
      <c r="A93" s="16" t="s">
        <v>93</v>
      </c>
      <c r="B93" s="16" t="s">
        <v>111</v>
      </c>
      <c r="C93" s="16" t="s">
        <v>96</v>
      </c>
      <c r="D93" s="16" t="s">
        <v>6</v>
      </c>
      <c r="E93" s="16" t="s">
        <v>26</v>
      </c>
      <c r="F93" s="16">
        <v>672</v>
      </c>
      <c r="G93" s="16">
        <v>1656</v>
      </c>
      <c r="H93" s="16" t="s">
        <v>10</v>
      </c>
      <c r="I93" s="17">
        <v>36261</v>
      </c>
      <c r="J93" s="16" t="s">
        <v>650</v>
      </c>
      <c r="K93" s="16" t="s">
        <v>651</v>
      </c>
      <c r="L93" s="50"/>
      <c r="M93" s="50"/>
    </row>
    <row r="94" spans="1:13" hidden="1" x14ac:dyDescent="0.25">
      <c r="A94" s="16" t="s">
        <v>93</v>
      </c>
      <c r="B94" s="16" t="s">
        <v>112</v>
      </c>
      <c r="C94" s="16" t="s">
        <v>99</v>
      </c>
      <c r="D94" s="16" t="s">
        <v>6</v>
      </c>
      <c r="E94" s="16" t="s">
        <v>26</v>
      </c>
      <c r="F94" s="16">
        <v>604</v>
      </c>
      <c r="G94" s="16">
        <v>1924</v>
      </c>
      <c r="H94" s="16" t="s">
        <v>10</v>
      </c>
      <c r="I94" s="17">
        <v>36612</v>
      </c>
      <c r="J94" s="16" t="s">
        <v>650</v>
      </c>
      <c r="K94" s="16" t="s">
        <v>651</v>
      </c>
      <c r="L94" s="50"/>
      <c r="M94" s="50"/>
    </row>
    <row r="95" spans="1:13" x14ac:dyDescent="0.25">
      <c r="A95" s="16" t="s">
        <v>93</v>
      </c>
      <c r="B95" s="16" t="s">
        <v>113</v>
      </c>
      <c r="C95" s="16" t="s">
        <v>96</v>
      </c>
      <c r="D95" s="16" t="s">
        <v>6</v>
      </c>
      <c r="E95" s="16" t="s">
        <v>3</v>
      </c>
      <c r="F95" s="16">
        <v>579</v>
      </c>
      <c r="G95" s="16">
        <v>2037</v>
      </c>
      <c r="H95" s="16" t="s">
        <v>4</v>
      </c>
      <c r="I95" s="17">
        <v>39028</v>
      </c>
      <c r="J95" s="16" t="s">
        <v>650</v>
      </c>
      <c r="K95" s="16" t="s">
        <v>651</v>
      </c>
      <c r="L95" s="50" t="str">
        <f>VLOOKUP(Table1[[#This Row],[STUDENT COUNT]],RNG_STUDENT_CATEGORY,2,TRUE)</f>
        <v>Small</v>
      </c>
      <c r="M95" s="50" t="str">
        <f>_xlfn.XLOOKUP(Table1[[#This Row],[CATEGORY OF STUDENT ASSO]],CATEGORY!$D$11:$D$15,CATEGORY!$B$11:$B$15)</f>
        <v>10001 to 3000</v>
      </c>
    </row>
    <row r="96" spans="1:13" x14ac:dyDescent="0.25">
      <c r="A96" s="16" t="s">
        <v>93</v>
      </c>
      <c r="B96" s="16" t="s">
        <v>114</v>
      </c>
      <c r="C96" s="16" t="s">
        <v>99</v>
      </c>
      <c r="D96" s="16" t="s">
        <v>6</v>
      </c>
      <c r="E96" s="16" t="s">
        <v>3</v>
      </c>
      <c r="F96" s="16">
        <v>611</v>
      </c>
      <c r="G96" s="16">
        <v>2092</v>
      </c>
      <c r="H96" s="16" t="s">
        <v>10</v>
      </c>
      <c r="I96" s="17">
        <v>37012</v>
      </c>
      <c r="J96" s="16" t="s">
        <v>650</v>
      </c>
      <c r="K96" s="16" t="s">
        <v>651</v>
      </c>
      <c r="L96" s="50" t="str">
        <f>VLOOKUP(Table1[[#This Row],[STUDENT COUNT]],RNG_STUDENT_CATEGORY,2,TRUE)</f>
        <v>Small</v>
      </c>
      <c r="M96" s="50" t="str">
        <f>_xlfn.XLOOKUP(Table1[[#This Row],[CATEGORY OF STUDENT ASSO]],CATEGORY!$D$11:$D$15,CATEGORY!$B$11:$B$15)</f>
        <v>10001 to 3000</v>
      </c>
    </row>
    <row r="97" spans="1:13" hidden="1" x14ac:dyDescent="0.25">
      <c r="A97" s="16" t="s">
        <v>93</v>
      </c>
      <c r="B97" s="16" t="s">
        <v>115</v>
      </c>
      <c r="C97" s="16" t="s">
        <v>96</v>
      </c>
      <c r="D97" s="16" t="s">
        <v>6</v>
      </c>
      <c r="E97" s="16" t="s">
        <v>26</v>
      </c>
      <c r="F97" s="16">
        <v>1035</v>
      </c>
      <c r="G97" s="16">
        <v>3117</v>
      </c>
      <c r="H97" s="16" t="s">
        <v>4</v>
      </c>
      <c r="I97" s="17">
        <v>36612</v>
      </c>
      <c r="J97" s="16" t="s">
        <v>652</v>
      </c>
      <c r="K97" s="16" t="s">
        <v>653</v>
      </c>
      <c r="L97" s="50"/>
      <c r="M97" s="50"/>
    </row>
    <row r="98" spans="1:13" hidden="1" x14ac:dyDescent="0.25">
      <c r="A98" s="16" t="s">
        <v>93</v>
      </c>
      <c r="B98" s="16" t="s">
        <v>116</v>
      </c>
      <c r="C98" s="16" t="s">
        <v>99</v>
      </c>
      <c r="D98" s="16" t="s">
        <v>6</v>
      </c>
      <c r="E98" s="16" t="s">
        <v>26</v>
      </c>
      <c r="F98" s="16">
        <v>454</v>
      </c>
      <c r="G98" s="16">
        <v>1680</v>
      </c>
      <c r="H98" s="16" t="s">
        <v>10</v>
      </c>
      <c r="I98" s="17">
        <v>41426</v>
      </c>
      <c r="J98" s="16" t="s">
        <v>648</v>
      </c>
      <c r="K98" s="16" t="s">
        <v>649</v>
      </c>
      <c r="L98" s="50"/>
      <c r="M98" s="50"/>
    </row>
    <row r="99" spans="1:13" hidden="1" x14ac:dyDescent="0.25">
      <c r="A99" s="16" t="s">
        <v>93</v>
      </c>
      <c r="B99" s="16" t="s">
        <v>117</v>
      </c>
      <c r="C99" s="16" t="s">
        <v>99</v>
      </c>
      <c r="D99" s="16" t="s">
        <v>6</v>
      </c>
      <c r="E99" s="16" t="s">
        <v>26</v>
      </c>
      <c r="F99" s="16">
        <v>420</v>
      </c>
      <c r="G99" s="16">
        <v>1938</v>
      </c>
      <c r="H99" s="16" t="s">
        <v>10</v>
      </c>
      <c r="I99" s="17">
        <v>41426</v>
      </c>
      <c r="J99" s="16" t="s">
        <v>648</v>
      </c>
      <c r="K99" s="16" t="s">
        <v>649</v>
      </c>
      <c r="L99" s="50"/>
      <c r="M99" s="50"/>
    </row>
    <row r="100" spans="1:13" hidden="1" x14ac:dyDescent="0.25">
      <c r="A100" s="16" t="s">
        <v>93</v>
      </c>
      <c r="B100" s="16" t="s">
        <v>118</v>
      </c>
      <c r="C100" s="16" t="s">
        <v>99</v>
      </c>
      <c r="D100" s="16" t="s">
        <v>6</v>
      </c>
      <c r="E100" s="16" t="s">
        <v>26</v>
      </c>
      <c r="F100" s="16">
        <v>345</v>
      </c>
      <c r="G100" s="16">
        <v>1560</v>
      </c>
      <c r="H100" s="16" t="s">
        <v>10</v>
      </c>
      <c r="I100" s="17">
        <v>42552</v>
      </c>
      <c r="J100" s="16" t="s">
        <v>648</v>
      </c>
      <c r="K100" s="16" t="s">
        <v>649</v>
      </c>
      <c r="L100" s="50"/>
      <c r="M100" s="50"/>
    </row>
    <row r="101" spans="1:13" hidden="1" x14ac:dyDescent="0.25">
      <c r="A101" s="16" t="s">
        <v>93</v>
      </c>
      <c r="B101" s="16" t="s">
        <v>119</v>
      </c>
      <c r="C101" s="16" t="s">
        <v>99</v>
      </c>
      <c r="D101" s="16" t="s">
        <v>6</v>
      </c>
      <c r="E101" s="16" t="s">
        <v>26</v>
      </c>
      <c r="F101" s="16">
        <v>505</v>
      </c>
      <c r="G101" s="16">
        <v>2200</v>
      </c>
      <c r="H101" s="16" t="s">
        <v>10</v>
      </c>
      <c r="I101" s="17">
        <v>42552</v>
      </c>
      <c r="J101" s="16" t="s">
        <v>650</v>
      </c>
      <c r="K101" s="16" t="s">
        <v>651</v>
      </c>
      <c r="L101" s="50"/>
      <c r="M101" s="50"/>
    </row>
    <row r="102" spans="1:13" hidden="1" x14ac:dyDescent="0.25">
      <c r="A102" s="16" t="s">
        <v>93</v>
      </c>
      <c r="B102" s="16" t="s">
        <v>120</v>
      </c>
      <c r="C102" s="16" t="s">
        <v>99</v>
      </c>
      <c r="D102" s="16" t="s">
        <v>6</v>
      </c>
      <c r="E102" s="16" t="s">
        <v>26</v>
      </c>
      <c r="F102" s="16">
        <v>273</v>
      </c>
      <c r="G102" s="16">
        <v>1002</v>
      </c>
      <c r="H102" s="16" t="s">
        <v>10</v>
      </c>
      <c r="I102" s="17">
        <v>42552</v>
      </c>
      <c r="J102" s="16" t="s">
        <v>648</v>
      </c>
      <c r="K102" s="16" t="s">
        <v>649</v>
      </c>
      <c r="L102" s="50"/>
      <c r="M102" s="50"/>
    </row>
    <row r="103" spans="1:13" hidden="1" x14ac:dyDescent="0.25">
      <c r="A103" s="16" t="s">
        <v>93</v>
      </c>
      <c r="B103" s="16" t="s">
        <v>121</v>
      </c>
      <c r="C103" s="16" t="s">
        <v>99</v>
      </c>
      <c r="D103" s="16" t="s">
        <v>6</v>
      </c>
      <c r="E103" s="16" t="s">
        <v>26</v>
      </c>
      <c r="F103" s="16">
        <v>329</v>
      </c>
      <c r="G103" s="16">
        <v>1068</v>
      </c>
      <c r="H103" s="16" t="s">
        <v>10</v>
      </c>
      <c r="I103" s="17">
        <v>42552</v>
      </c>
      <c r="J103" s="16" t="s">
        <v>648</v>
      </c>
      <c r="K103" s="16" t="s">
        <v>649</v>
      </c>
      <c r="L103" s="50"/>
      <c r="M103" s="50"/>
    </row>
    <row r="104" spans="1:13" hidden="1" x14ac:dyDescent="0.25">
      <c r="A104" s="16" t="s">
        <v>93</v>
      </c>
      <c r="B104" s="16" t="s">
        <v>122</v>
      </c>
      <c r="C104" s="16" t="s">
        <v>99</v>
      </c>
      <c r="D104" s="16" t="s">
        <v>6</v>
      </c>
      <c r="E104" s="16" t="s">
        <v>26</v>
      </c>
      <c r="F104" s="16">
        <v>239</v>
      </c>
      <c r="G104" s="16">
        <v>709</v>
      </c>
      <c r="H104" s="16" t="s">
        <v>10</v>
      </c>
      <c r="I104" s="17">
        <v>45152</v>
      </c>
      <c r="J104" s="16" t="s">
        <v>648</v>
      </c>
      <c r="K104" s="16" t="s">
        <v>649</v>
      </c>
      <c r="L104" s="50"/>
      <c r="M104" s="50"/>
    </row>
    <row r="105" spans="1:13" hidden="1" x14ac:dyDescent="0.25">
      <c r="A105" s="11" t="s">
        <v>123</v>
      </c>
      <c r="B105" s="11" t="s">
        <v>123</v>
      </c>
      <c r="C105" s="11" t="s">
        <v>124</v>
      </c>
      <c r="D105" s="11" t="s">
        <v>2</v>
      </c>
      <c r="E105" s="11" t="s">
        <v>3</v>
      </c>
      <c r="F105" s="11">
        <v>22204</v>
      </c>
      <c r="G105" s="11">
        <v>60645</v>
      </c>
      <c r="H105" s="11" t="s">
        <v>4</v>
      </c>
      <c r="I105" s="14"/>
      <c r="J105" s="11"/>
      <c r="K105" s="11"/>
      <c r="L105" s="50"/>
      <c r="M105" s="50"/>
    </row>
    <row r="106" spans="1:13" x14ac:dyDescent="0.25">
      <c r="A106" s="16" t="s">
        <v>123</v>
      </c>
      <c r="B106" s="16" t="s">
        <v>125</v>
      </c>
      <c r="C106" s="16" t="s">
        <v>126</v>
      </c>
      <c r="D106" s="16" t="s">
        <v>6</v>
      </c>
      <c r="E106" s="16" t="s">
        <v>3</v>
      </c>
      <c r="F106" s="16">
        <v>644</v>
      </c>
      <c r="G106" s="16">
        <v>3972</v>
      </c>
      <c r="H106" s="16" t="s">
        <v>4</v>
      </c>
      <c r="I106" s="17">
        <v>29846</v>
      </c>
      <c r="J106" s="16" t="s">
        <v>650</v>
      </c>
      <c r="K106" s="16" t="s">
        <v>651</v>
      </c>
      <c r="L106" s="50" t="str">
        <f>VLOOKUP(Table1[[#This Row],[STUDENT COUNT]],RNG_STUDENT_CATEGORY,2,TRUE)</f>
        <v>Medium</v>
      </c>
      <c r="M106" s="50" t="str">
        <f>_xlfn.XLOOKUP(Table1[[#This Row],[CATEGORY OF STUDENT ASSO]],CATEGORY!$D$11:$D$15,CATEGORY!$B$11:$B$15)</f>
        <v>3001 to 5000</v>
      </c>
    </row>
    <row r="107" spans="1:13" x14ac:dyDescent="0.25">
      <c r="A107" s="16" t="s">
        <v>123</v>
      </c>
      <c r="B107" s="16" t="s">
        <v>127</v>
      </c>
      <c r="C107" s="16" t="s">
        <v>128</v>
      </c>
      <c r="D107" s="16" t="s">
        <v>6</v>
      </c>
      <c r="E107" s="16" t="s">
        <v>3</v>
      </c>
      <c r="F107" s="16">
        <v>728</v>
      </c>
      <c r="G107" s="16">
        <v>2980</v>
      </c>
      <c r="H107" s="16" t="s">
        <v>10</v>
      </c>
      <c r="I107" s="17">
        <v>41720</v>
      </c>
      <c r="J107" s="16" t="s">
        <v>650</v>
      </c>
      <c r="K107" s="16" t="s">
        <v>651</v>
      </c>
      <c r="L107" s="50" t="str">
        <f>VLOOKUP(Table1[[#This Row],[STUDENT COUNT]],RNG_STUDENT_CATEGORY,2,TRUE)</f>
        <v>Small</v>
      </c>
      <c r="M107" s="50" t="str">
        <f>_xlfn.XLOOKUP(Table1[[#This Row],[CATEGORY OF STUDENT ASSO]],CATEGORY!$D$11:$D$15,CATEGORY!$B$11:$B$15)</f>
        <v>10001 to 3000</v>
      </c>
    </row>
    <row r="108" spans="1:13" x14ac:dyDescent="0.25">
      <c r="A108" s="16" t="s">
        <v>123</v>
      </c>
      <c r="B108" s="16" t="s">
        <v>129</v>
      </c>
      <c r="C108" s="16" t="s">
        <v>130</v>
      </c>
      <c r="D108" s="16" t="s">
        <v>6</v>
      </c>
      <c r="E108" s="16" t="s">
        <v>3</v>
      </c>
      <c r="F108" s="16">
        <v>22146</v>
      </c>
      <c r="G108" s="16">
        <v>44212</v>
      </c>
      <c r="H108" s="16" t="s">
        <v>4</v>
      </c>
      <c r="I108" s="17">
        <v>22737</v>
      </c>
      <c r="J108" s="16" t="s">
        <v>656</v>
      </c>
      <c r="K108" s="16" t="s">
        <v>657</v>
      </c>
      <c r="L108" s="50" t="str">
        <f>VLOOKUP(Table1[[#This Row],[STUDENT COUNT]],RNG_STUDENT_CATEGORY,2,TRUE)</f>
        <v>Mega</v>
      </c>
      <c r="M108" s="50" t="str">
        <f>_xlfn.XLOOKUP(Table1[[#This Row],[CATEGORY OF STUDENT ASSO]],CATEGORY!$D$11:$D$15,CATEGORY!$B$11:$B$15)</f>
        <v>&gt;10000</v>
      </c>
    </row>
    <row r="109" spans="1:13" x14ac:dyDescent="0.25">
      <c r="A109" s="16" t="s">
        <v>123</v>
      </c>
      <c r="B109" s="16" t="s">
        <v>131</v>
      </c>
      <c r="C109" s="16" t="s">
        <v>130</v>
      </c>
      <c r="D109" s="16" t="s">
        <v>6</v>
      </c>
      <c r="E109" s="16" t="s">
        <v>3</v>
      </c>
      <c r="F109" s="16">
        <v>495</v>
      </c>
      <c r="G109" s="16">
        <v>2814</v>
      </c>
      <c r="H109" s="16" t="s">
        <v>4</v>
      </c>
      <c r="I109" s="17">
        <v>27190</v>
      </c>
      <c r="J109" s="16" t="s">
        <v>648</v>
      </c>
      <c r="K109" s="16" t="s">
        <v>649</v>
      </c>
      <c r="L109" s="50" t="str">
        <f>VLOOKUP(Table1[[#This Row],[STUDENT COUNT]],RNG_STUDENT_CATEGORY,2,TRUE)</f>
        <v>Small</v>
      </c>
      <c r="M109" s="50" t="str">
        <f>_xlfn.XLOOKUP(Table1[[#This Row],[CATEGORY OF STUDENT ASSO]],CATEGORY!$D$11:$D$15,CATEGORY!$B$11:$B$15)</f>
        <v>10001 to 3000</v>
      </c>
    </row>
    <row r="110" spans="1:13" x14ac:dyDescent="0.25">
      <c r="A110" s="16" t="s">
        <v>123</v>
      </c>
      <c r="B110" s="16" t="s">
        <v>132</v>
      </c>
      <c r="C110" s="16" t="s">
        <v>130</v>
      </c>
      <c r="D110" s="16" t="s">
        <v>6</v>
      </c>
      <c r="E110" s="16" t="s">
        <v>3</v>
      </c>
      <c r="F110" s="16">
        <v>275</v>
      </c>
      <c r="G110" s="16">
        <v>1781</v>
      </c>
      <c r="H110" s="16" t="s">
        <v>4</v>
      </c>
      <c r="I110" s="17">
        <v>38968</v>
      </c>
      <c r="J110" s="16" t="s">
        <v>648</v>
      </c>
      <c r="K110" s="16" t="s">
        <v>649</v>
      </c>
      <c r="L110" s="50" t="str">
        <f>VLOOKUP(Table1[[#This Row],[STUDENT COUNT]],RNG_STUDENT_CATEGORY,2,TRUE)</f>
        <v>Small</v>
      </c>
      <c r="M110" s="50" t="str">
        <f>_xlfn.XLOOKUP(Table1[[#This Row],[CATEGORY OF STUDENT ASSO]],CATEGORY!$D$11:$D$15,CATEGORY!$B$11:$B$15)</f>
        <v>10001 to 3000</v>
      </c>
    </row>
    <row r="111" spans="1:13" x14ac:dyDescent="0.25">
      <c r="A111" s="16" t="s">
        <v>123</v>
      </c>
      <c r="B111" s="16" t="s">
        <v>133</v>
      </c>
      <c r="C111" s="16" t="s">
        <v>126</v>
      </c>
      <c r="D111" s="16" t="s">
        <v>6</v>
      </c>
      <c r="E111" s="16" t="s">
        <v>3</v>
      </c>
      <c r="F111" s="16">
        <v>1133</v>
      </c>
      <c r="G111" s="16">
        <v>10949</v>
      </c>
      <c r="H111" s="16" t="s">
        <v>4</v>
      </c>
      <c r="I111" s="17">
        <v>30015</v>
      </c>
      <c r="J111" s="16" t="s">
        <v>652</v>
      </c>
      <c r="K111" s="16" t="s">
        <v>653</v>
      </c>
      <c r="L111" s="50" t="str">
        <f>VLOOKUP(Table1[[#This Row],[STUDENT COUNT]],RNG_STUDENT_CATEGORY,2,TRUE)</f>
        <v>Mega</v>
      </c>
      <c r="M111" s="50" t="str">
        <f>_xlfn.XLOOKUP(Table1[[#This Row],[CATEGORY OF STUDENT ASSO]],CATEGORY!$D$11:$D$15,CATEGORY!$B$11:$B$15)</f>
        <v>&gt;10000</v>
      </c>
    </row>
    <row r="112" spans="1:13" x14ac:dyDescent="0.25">
      <c r="A112" s="16" t="s">
        <v>123</v>
      </c>
      <c r="B112" s="16" t="s">
        <v>134</v>
      </c>
      <c r="C112" s="16" t="s">
        <v>124</v>
      </c>
      <c r="D112" s="16" t="s">
        <v>6</v>
      </c>
      <c r="E112" s="16" t="s">
        <v>3</v>
      </c>
      <c r="F112" s="16">
        <v>2257</v>
      </c>
      <c r="G112" s="16">
        <v>9002</v>
      </c>
      <c r="H112" s="16" t="s">
        <v>4</v>
      </c>
      <c r="I112" s="17">
        <v>22737</v>
      </c>
      <c r="J112" s="16" t="s">
        <v>652</v>
      </c>
      <c r="K112" s="16" t="s">
        <v>653</v>
      </c>
      <c r="L112" s="50" t="str">
        <f>VLOOKUP(Table1[[#This Row],[STUDENT COUNT]],RNG_STUDENT_CATEGORY,2,TRUE)</f>
        <v>Large</v>
      </c>
      <c r="M112" s="50" t="str">
        <f>_xlfn.XLOOKUP(Table1[[#This Row],[CATEGORY OF STUDENT ASSO]],CATEGORY!$D$11:$D$15,CATEGORY!$B$11:$B$15)</f>
        <v>5001 to 10000</v>
      </c>
    </row>
    <row r="113" spans="1:13" x14ac:dyDescent="0.25">
      <c r="A113" s="16" t="s">
        <v>123</v>
      </c>
      <c r="B113" s="16" t="s">
        <v>135</v>
      </c>
      <c r="C113" s="16" t="s">
        <v>126</v>
      </c>
      <c r="D113" s="16" t="s">
        <v>6</v>
      </c>
      <c r="E113" s="16" t="s">
        <v>3</v>
      </c>
      <c r="F113" s="16">
        <v>3524</v>
      </c>
      <c r="G113" s="16">
        <v>9919</v>
      </c>
      <c r="H113" s="16" t="s">
        <v>4</v>
      </c>
      <c r="I113" s="17">
        <v>24807</v>
      </c>
      <c r="J113" s="16" t="s">
        <v>654</v>
      </c>
      <c r="K113" s="16" t="s">
        <v>655</v>
      </c>
      <c r="L113" s="50" t="str">
        <f>VLOOKUP(Table1[[#This Row],[STUDENT COUNT]],RNG_STUDENT_CATEGORY,2,TRUE)</f>
        <v>Large</v>
      </c>
      <c r="M113" s="50" t="str">
        <f>_xlfn.XLOOKUP(Table1[[#This Row],[CATEGORY OF STUDENT ASSO]],CATEGORY!$D$11:$D$15,CATEGORY!$B$11:$B$15)</f>
        <v>5001 to 10000</v>
      </c>
    </row>
    <row r="114" spans="1:13" x14ac:dyDescent="0.25">
      <c r="A114" s="16" t="s">
        <v>123</v>
      </c>
      <c r="B114" s="16" t="s">
        <v>136</v>
      </c>
      <c r="C114" s="16" t="s">
        <v>124</v>
      </c>
      <c r="D114" s="16" t="s">
        <v>6</v>
      </c>
      <c r="E114" s="16" t="s">
        <v>3</v>
      </c>
      <c r="F114" s="16">
        <v>447</v>
      </c>
      <c r="G114" s="16">
        <v>3239</v>
      </c>
      <c r="H114" s="16" t="s">
        <v>4</v>
      </c>
      <c r="I114" s="17">
        <v>31306</v>
      </c>
      <c r="J114" s="16" t="s">
        <v>648</v>
      </c>
      <c r="K114" s="16" t="s">
        <v>649</v>
      </c>
      <c r="L114" s="50" t="str">
        <f>VLOOKUP(Table1[[#This Row],[STUDENT COUNT]],RNG_STUDENT_CATEGORY,2,TRUE)</f>
        <v>Medium</v>
      </c>
      <c r="M114" s="50" t="str">
        <f>_xlfn.XLOOKUP(Table1[[#This Row],[CATEGORY OF STUDENT ASSO]],CATEGORY!$D$11:$D$15,CATEGORY!$B$11:$B$15)</f>
        <v>3001 to 5000</v>
      </c>
    </row>
    <row r="115" spans="1:13" x14ac:dyDescent="0.25">
      <c r="A115" s="16" t="s">
        <v>123</v>
      </c>
      <c r="B115" s="16" t="s">
        <v>137</v>
      </c>
      <c r="C115" s="16" t="s">
        <v>128</v>
      </c>
      <c r="D115" s="16" t="s">
        <v>6</v>
      </c>
      <c r="E115" s="16" t="s">
        <v>3</v>
      </c>
      <c r="F115" s="16">
        <v>1750</v>
      </c>
      <c r="G115" s="16">
        <v>5650</v>
      </c>
      <c r="H115" s="16" t="s">
        <v>4</v>
      </c>
      <c r="I115" s="17">
        <v>29943</v>
      </c>
      <c r="J115" s="16" t="s">
        <v>652</v>
      </c>
      <c r="K115" s="16" t="s">
        <v>653</v>
      </c>
      <c r="L115" s="50" t="str">
        <f>VLOOKUP(Table1[[#This Row],[STUDENT COUNT]],RNG_STUDENT_CATEGORY,2,TRUE)</f>
        <v>Large</v>
      </c>
      <c r="M115" s="50" t="str">
        <f>_xlfn.XLOOKUP(Table1[[#This Row],[CATEGORY OF STUDENT ASSO]],CATEGORY!$D$11:$D$15,CATEGORY!$B$11:$B$15)</f>
        <v>5001 to 10000</v>
      </c>
    </row>
    <row r="116" spans="1:13" x14ac:dyDescent="0.25">
      <c r="A116" s="16" t="s">
        <v>123</v>
      </c>
      <c r="B116" s="16" t="s">
        <v>138</v>
      </c>
      <c r="C116" s="16" t="s">
        <v>130</v>
      </c>
      <c r="D116" s="16" t="s">
        <v>6</v>
      </c>
      <c r="E116" s="16" t="s">
        <v>3</v>
      </c>
      <c r="F116" s="16">
        <v>465</v>
      </c>
      <c r="G116" s="16">
        <v>3081</v>
      </c>
      <c r="H116" s="16" t="s">
        <v>4</v>
      </c>
      <c r="I116" s="17">
        <v>31306</v>
      </c>
      <c r="J116" s="16" t="s">
        <v>648</v>
      </c>
      <c r="K116" s="16" t="s">
        <v>649</v>
      </c>
      <c r="L116" s="50" t="str">
        <f>VLOOKUP(Table1[[#This Row],[STUDENT COUNT]],RNG_STUDENT_CATEGORY,2,TRUE)</f>
        <v>Medium</v>
      </c>
      <c r="M116" s="50" t="str">
        <f>_xlfn.XLOOKUP(Table1[[#This Row],[CATEGORY OF STUDENT ASSO]],CATEGORY!$D$11:$D$15,CATEGORY!$B$11:$B$15)</f>
        <v>3001 to 5000</v>
      </c>
    </row>
    <row r="117" spans="1:13" x14ac:dyDescent="0.25">
      <c r="A117" s="16" t="s">
        <v>123</v>
      </c>
      <c r="B117" s="16" t="s">
        <v>139</v>
      </c>
      <c r="C117" s="16" t="s">
        <v>140</v>
      </c>
      <c r="D117" s="16" t="s">
        <v>6</v>
      </c>
      <c r="E117" s="16" t="s">
        <v>3</v>
      </c>
      <c r="F117" s="16">
        <v>15051</v>
      </c>
      <c r="G117" s="16">
        <v>34510</v>
      </c>
      <c r="H117" s="16" t="s">
        <v>4</v>
      </c>
      <c r="I117" s="17">
        <v>22737</v>
      </c>
      <c r="J117" s="16" t="s">
        <v>656</v>
      </c>
      <c r="K117" s="16" t="s">
        <v>657</v>
      </c>
      <c r="L117" s="50" t="str">
        <f>VLOOKUP(Table1[[#This Row],[STUDENT COUNT]],RNG_STUDENT_CATEGORY,2,TRUE)</f>
        <v>Mega</v>
      </c>
      <c r="M117" s="50" t="str">
        <f>_xlfn.XLOOKUP(Table1[[#This Row],[CATEGORY OF STUDENT ASSO]],CATEGORY!$D$11:$D$15,CATEGORY!$B$11:$B$15)</f>
        <v>&gt;10000</v>
      </c>
    </row>
    <row r="118" spans="1:13" x14ac:dyDescent="0.25">
      <c r="A118" s="16" t="s">
        <v>123</v>
      </c>
      <c r="B118" s="16" t="s">
        <v>141</v>
      </c>
      <c r="C118" s="16" t="s">
        <v>128</v>
      </c>
      <c r="D118" s="16" t="s">
        <v>6</v>
      </c>
      <c r="E118" s="16" t="s">
        <v>3</v>
      </c>
      <c r="F118" s="16">
        <v>534</v>
      </c>
      <c r="G118" s="16">
        <v>1494</v>
      </c>
      <c r="H118" s="16" t="s">
        <v>4</v>
      </c>
      <c r="I118" s="17">
        <v>38968</v>
      </c>
      <c r="J118" s="16" t="s">
        <v>650</v>
      </c>
      <c r="K118" s="16" t="s">
        <v>651</v>
      </c>
      <c r="L118" s="50" t="str">
        <f>VLOOKUP(Table1[[#This Row],[STUDENT COUNT]],RNG_STUDENT_CATEGORY,2,TRUE)</f>
        <v>Small</v>
      </c>
      <c r="M118" s="50" t="str">
        <f>_xlfn.XLOOKUP(Table1[[#This Row],[CATEGORY OF STUDENT ASSO]],CATEGORY!$D$11:$D$15,CATEGORY!$B$11:$B$15)</f>
        <v>10001 to 3000</v>
      </c>
    </row>
    <row r="119" spans="1:13" x14ac:dyDescent="0.25">
      <c r="A119" s="16" t="s">
        <v>123</v>
      </c>
      <c r="B119" s="16" t="s">
        <v>142</v>
      </c>
      <c r="C119" s="16" t="s">
        <v>126</v>
      </c>
      <c r="D119" s="16" t="s">
        <v>6</v>
      </c>
      <c r="E119" s="16" t="s">
        <v>3</v>
      </c>
      <c r="F119" s="16">
        <v>564</v>
      </c>
      <c r="G119" s="16">
        <v>4813</v>
      </c>
      <c r="H119" s="16" t="s">
        <v>4</v>
      </c>
      <c r="I119" s="17">
        <v>40904</v>
      </c>
      <c r="J119" s="16" t="s">
        <v>650</v>
      </c>
      <c r="K119" s="16" t="s">
        <v>651</v>
      </c>
      <c r="L119" s="50" t="str">
        <f>VLOOKUP(Table1[[#This Row],[STUDENT COUNT]],RNG_STUDENT_CATEGORY,2,TRUE)</f>
        <v>Medium</v>
      </c>
      <c r="M119" s="50" t="str">
        <f>_xlfn.XLOOKUP(Table1[[#This Row],[CATEGORY OF STUDENT ASSO]],CATEGORY!$D$11:$D$15,CATEGORY!$B$11:$B$15)</f>
        <v>3001 to 5000</v>
      </c>
    </row>
    <row r="120" spans="1:13" x14ac:dyDescent="0.25">
      <c r="A120" s="16" t="s">
        <v>123</v>
      </c>
      <c r="B120" s="16" t="s">
        <v>143</v>
      </c>
      <c r="C120" s="16" t="s">
        <v>140</v>
      </c>
      <c r="D120" s="16" t="s">
        <v>6</v>
      </c>
      <c r="E120" s="16" t="s">
        <v>3</v>
      </c>
      <c r="F120" s="16">
        <v>606</v>
      </c>
      <c r="G120" s="16">
        <v>1763</v>
      </c>
      <c r="H120" s="16" t="s">
        <v>10</v>
      </c>
      <c r="I120" s="17">
        <v>41642</v>
      </c>
      <c r="J120" s="16" t="s">
        <v>650</v>
      </c>
      <c r="K120" s="16" t="s">
        <v>651</v>
      </c>
      <c r="L120" s="50" t="str">
        <f>VLOOKUP(Table1[[#This Row],[STUDENT COUNT]],RNG_STUDENT_CATEGORY,2,TRUE)</f>
        <v>Small</v>
      </c>
      <c r="M120" s="50" t="str">
        <f>_xlfn.XLOOKUP(Table1[[#This Row],[CATEGORY OF STUDENT ASSO]],CATEGORY!$D$11:$D$15,CATEGORY!$B$11:$B$15)</f>
        <v>10001 to 3000</v>
      </c>
    </row>
    <row r="121" spans="1:13" x14ac:dyDescent="0.25">
      <c r="A121" s="16" t="s">
        <v>123</v>
      </c>
      <c r="B121" s="16" t="s">
        <v>144</v>
      </c>
      <c r="C121" s="16" t="s">
        <v>126</v>
      </c>
      <c r="D121" s="16" t="s">
        <v>6</v>
      </c>
      <c r="E121" s="16" t="s">
        <v>3</v>
      </c>
      <c r="F121" s="16">
        <v>684</v>
      </c>
      <c r="G121" s="16">
        <v>2686</v>
      </c>
      <c r="H121" s="16" t="s">
        <v>4</v>
      </c>
      <c r="I121" s="17">
        <v>29705</v>
      </c>
      <c r="J121" s="16" t="s">
        <v>650</v>
      </c>
      <c r="K121" s="16" t="s">
        <v>651</v>
      </c>
      <c r="L121" s="50" t="str">
        <f>VLOOKUP(Table1[[#This Row],[STUDENT COUNT]],RNG_STUDENT_CATEGORY,2,TRUE)</f>
        <v>Small</v>
      </c>
      <c r="M121" s="50" t="str">
        <f>_xlfn.XLOOKUP(Table1[[#This Row],[CATEGORY OF STUDENT ASSO]],CATEGORY!$D$11:$D$15,CATEGORY!$B$11:$B$15)</f>
        <v>10001 to 3000</v>
      </c>
    </row>
    <row r="122" spans="1:13" x14ac:dyDescent="0.25">
      <c r="A122" s="16" t="s">
        <v>123</v>
      </c>
      <c r="B122" s="16" t="s">
        <v>145</v>
      </c>
      <c r="C122" s="16" t="s">
        <v>124</v>
      </c>
      <c r="D122" s="16" t="s">
        <v>6</v>
      </c>
      <c r="E122" s="16" t="s">
        <v>3</v>
      </c>
      <c r="F122" s="16">
        <v>358</v>
      </c>
      <c r="G122" s="16">
        <v>3591</v>
      </c>
      <c r="H122" s="16" t="s">
        <v>4</v>
      </c>
      <c r="I122" s="17">
        <v>29313</v>
      </c>
      <c r="J122" s="16" t="s">
        <v>648</v>
      </c>
      <c r="K122" s="16" t="s">
        <v>649</v>
      </c>
      <c r="L122" s="50" t="str">
        <f>VLOOKUP(Table1[[#This Row],[STUDENT COUNT]],RNG_STUDENT_CATEGORY,2,TRUE)</f>
        <v>Medium</v>
      </c>
      <c r="M122" s="50" t="str">
        <f>_xlfn.XLOOKUP(Table1[[#This Row],[CATEGORY OF STUDENT ASSO]],CATEGORY!$D$11:$D$15,CATEGORY!$B$11:$B$15)</f>
        <v>3001 to 5000</v>
      </c>
    </row>
    <row r="123" spans="1:13" x14ac:dyDescent="0.25">
      <c r="A123" s="16" t="s">
        <v>123</v>
      </c>
      <c r="B123" s="16" t="s">
        <v>146</v>
      </c>
      <c r="C123" s="16" t="s">
        <v>128</v>
      </c>
      <c r="D123" s="16" t="s">
        <v>6</v>
      </c>
      <c r="E123" s="16" t="s">
        <v>3</v>
      </c>
      <c r="F123" s="16">
        <v>745</v>
      </c>
      <c r="G123" s="16">
        <v>2694</v>
      </c>
      <c r="H123" s="16" t="s">
        <v>10</v>
      </c>
      <c r="I123" s="17">
        <v>41680</v>
      </c>
      <c r="J123" s="16" t="s">
        <v>650</v>
      </c>
      <c r="K123" s="16" t="s">
        <v>651</v>
      </c>
      <c r="L123" s="50" t="str">
        <f>VLOOKUP(Table1[[#This Row],[STUDENT COUNT]],RNG_STUDENT_CATEGORY,2,TRUE)</f>
        <v>Small</v>
      </c>
      <c r="M123" s="50" t="str">
        <f>_xlfn.XLOOKUP(Table1[[#This Row],[CATEGORY OF STUDENT ASSO]],CATEGORY!$D$11:$D$15,CATEGORY!$B$11:$B$15)</f>
        <v>10001 to 3000</v>
      </c>
    </row>
    <row r="124" spans="1:13" x14ac:dyDescent="0.25">
      <c r="A124" s="16" t="s">
        <v>123</v>
      </c>
      <c r="B124" s="16" t="s">
        <v>147</v>
      </c>
      <c r="C124" s="16" t="s">
        <v>124</v>
      </c>
      <c r="D124" s="16" t="s">
        <v>6</v>
      </c>
      <c r="E124" s="16" t="s">
        <v>3</v>
      </c>
      <c r="F124" s="16">
        <v>762</v>
      </c>
      <c r="G124" s="16">
        <v>5670</v>
      </c>
      <c r="H124" s="16" t="s">
        <v>4</v>
      </c>
      <c r="I124" s="17">
        <v>22737</v>
      </c>
      <c r="J124" s="16" t="s">
        <v>650</v>
      </c>
      <c r="K124" s="16" t="s">
        <v>651</v>
      </c>
      <c r="L124" s="50" t="str">
        <f>VLOOKUP(Table1[[#This Row],[STUDENT COUNT]],RNG_STUDENT_CATEGORY,2,TRUE)</f>
        <v>Large</v>
      </c>
      <c r="M124" s="50" t="str">
        <f>_xlfn.XLOOKUP(Table1[[#This Row],[CATEGORY OF STUDENT ASSO]],CATEGORY!$D$11:$D$15,CATEGORY!$B$11:$B$15)</f>
        <v>5001 to 10000</v>
      </c>
    </row>
    <row r="125" spans="1:13" x14ac:dyDescent="0.25">
      <c r="A125" s="16" t="s">
        <v>123</v>
      </c>
      <c r="B125" s="16" t="s">
        <v>148</v>
      </c>
      <c r="C125" s="16" t="s">
        <v>130</v>
      </c>
      <c r="D125" s="16" t="s">
        <v>6</v>
      </c>
      <c r="E125" s="16" t="s">
        <v>3</v>
      </c>
      <c r="F125" s="16">
        <v>1241</v>
      </c>
      <c r="G125" s="16">
        <v>6553</v>
      </c>
      <c r="H125" s="16" t="s">
        <v>4</v>
      </c>
      <c r="I125" s="17">
        <v>26163</v>
      </c>
      <c r="J125" s="16" t="s">
        <v>652</v>
      </c>
      <c r="K125" s="16" t="s">
        <v>653</v>
      </c>
      <c r="L125" s="50" t="str">
        <f>VLOOKUP(Table1[[#This Row],[STUDENT COUNT]],RNG_STUDENT_CATEGORY,2,TRUE)</f>
        <v>Large</v>
      </c>
      <c r="M125" s="50" t="str">
        <f>_xlfn.XLOOKUP(Table1[[#This Row],[CATEGORY OF STUDENT ASSO]],CATEGORY!$D$11:$D$15,CATEGORY!$B$11:$B$15)</f>
        <v>5001 to 10000</v>
      </c>
    </row>
    <row r="126" spans="1:13" x14ac:dyDescent="0.25">
      <c r="A126" s="16" t="s">
        <v>123</v>
      </c>
      <c r="B126" s="16" t="s">
        <v>149</v>
      </c>
      <c r="C126" s="16" t="s">
        <v>130</v>
      </c>
      <c r="D126" s="16" t="s">
        <v>6</v>
      </c>
      <c r="E126" s="16" t="s">
        <v>3</v>
      </c>
      <c r="F126" s="16">
        <v>601</v>
      </c>
      <c r="G126" s="16">
        <v>4331</v>
      </c>
      <c r="H126" s="16" t="s">
        <v>4</v>
      </c>
      <c r="I126" s="17">
        <v>30156</v>
      </c>
      <c r="J126" s="16" t="s">
        <v>650</v>
      </c>
      <c r="K126" s="16" t="s">
        <v>651</v>
      </c>
      <c r="L126" s="50" t="str">
        <f>VLOOKUP(Table1[[#This Row],[STUDENT COUNT]],RNG_STUDENT_CATEGORY,2,TRUE)</f>
        <v>Medium</v>
      </c>
      <c r="M126" s="50" t="str">
        <f>_xlfn.XLOOKUP(Table1[[#This Row],[CATEGORY OF STUDENT ASSO]],CATEGORY!$D$11:$D$15,CATEGORY!$B$11:$B$15)</f>
        <v>3001 to 5000</v>
      </c>
    </row>
    <row r="127" spans="1:13" x14ac:dyDescent="0.25">
      <c r="A127" s="16" t="s">
        <v>123</v>
      </c>
      <c r="B127" s="16" t="s">
        <v>150</v>
      </c>
      <c r="C127" s="16" t="s">
        <v>128</v>
      </c>
      <c r="D127" s="16" t="s">
        <v>6</v>
      </c>
      <c r="E127" s="16" t="s">
        <v>3</v>
      </c>
      <c r="F127" s="16">
        <v>782</v>
      </c>
      <c r="G127" s="16">
        <v>2353</v>
      </c>
      <c r="H127" s="16" t="s">
        <v>4</v>
      </c>
      <c r="I127" s="17">
        <v>39073</v>
      </c>
      <c r="J127" s="16" t="s">
        <v>650</v>
      </c>
      <c r="K127" s="16" t="s">
        <v>651</v>
      </c>
      <c r="L127" s="50" t="str">
        <f>VLOOKUP(Table1[[#This Row],[STUDENT COUNT]],RNG_STUDENT_CATEGORY,2,TRUE)</f>
        <v>Small</v>
      </c>
      <c r="M127" s="50" t="str">
        <f>_xlfn.XLOOKUP(Table1[[#This Row],[CATEGORY OF STUDENT ASSO]],CATEGORY!$D$11:$D$15,CATEGORY!$B$11:$B$15)</f>
        <v>10001 to 3000</v>
      </c>
    </row>
    <row r="128" spans="1:13" x14ac:dyDescent="0.25">
      <c r="A128" s="16" t="s">
        <v>123</v>
      </c>
      <c r="B128" s="16" t="s">
        <v>151</v>
      </c>
      <c r="C128" s="16" t="s">
        <v>128</v>
      </c>
      <c r="D128" s="16" t="s">
        <v>6</v>
      </c>
      <c r="E128" s="16" t="s">
        <v>3</v>
      </c>
      <c r="F128" s="16">
        <v>956</v>
      </c>
      <c r="G128" s="16">
        <v>2492</v>
      </c>
      <c r="H128" s="16" t="s">
        <v>10</v>
      </c>
      <c r="I128" s="17">
        <v>41642</v>
      </c>
      <c r="J128" s="16" t="s">
        <v>650</v>
      </c>
      <c r="K128" s="16" t="s">
        <v>651</v>
      </c>
      <c r="L128" s="50" t="str">
        <f>VLOOKUP(Table1[[#This Row],[STUDENT COUNT]],RNG_STUDENT_CATEGORY,2,TRUE)</f>
        <v>Small</v>
      </c>
      <c r="M128" s="50" t="str">
        <f>_xlfn.XLOOKUP(Table1[[#This Row],[CATEGORY OF STUDENT ASSO]],CATEGORY!$D$11:$D$15,CATEGORY!$B$11:$B$15)</f>
        <v>10001 to 3000</v>
      </c>
    </row>
    <row r="129" spans="1:13" x14ac:dyDescent="0.25">
      <c r="A129" s="16" t="s">
        <v>123</v>
      </c>
      <c r="B129" s="16" t="s">
        <v>152</v>
      </c>
      <c r="C129" s="16" t="s">
        <v>126</v>
      </c>
      <c r="D129" s="16" t="s">
        <v>6</v>
      </c>
      <c r="E129" s="16" t="s">
        <v>3</v>
      </c>
      <c r="F129" s="16">
        <v>651</v>
      </c>
      <c r="G129" s="16">
        <v>4061</v>
      </c>
      <c r="H129" s="16" t="s">
        <v>4</v>
      </c>
      <c r="I129" s="17">
        <v>32142</v>
      </c>
      <c r="J129" s="16" t="s">
        <v>650</v>
      </c>
      <c r="K129" s="16" t="s">
        <v>651</v>
      </c>
      <c r="L129" s="50" t="str">
        <f>VLOOKUP(Table1[[#This Row],[STUDENT COUNT]],RNG_STUDENT_CATEGORY,2,TRUE)</f>
        <v>Medium</v>
      </c>
      <c r="M129" s="50" t="str">
        <f>_xlfn.XLOOKUP(Table1[[#This Row],[CATEGORY OF STUDENT ASSO]],CATEGORY!$D$11:$D$15,CATEGORY!$B$11:$B$15)</f>
        <v>3001 to 5000</v>
      </c>
    </row>
    <row r="130" spans="1:13" x14ac:dyDescent="0.25">
      <c r="A130" s="16" t="s">
        <v>123</v>
      </c>
      <c r="B130" s="16" t="s">
        <v>153</v>
      </c>
      <c r="C130" s="16" t="s">
        <v>153</v>
      </c>
      <c r="D130" s="16" t="s">
        <v>6</v>
      </c>
      <c r="E130" s="16" t="s">
        <v>3</v>
      </c>
      <c r="F130" s="16">
        <v>485</v>
      </c>
      <c r="G130" s="16">
        <v>4225</v>
      </c>
      <c r="H130" s="16" t="s">
        <v>4</v>
      </c>
      <c r="I130" s="17">
        <v>31505</v>
      </c>
      <c r="J130" s="16" t="s">
        <v>648</v>
      </c>
      <c r="K130" s="16" t="s">
        <v>649</v>
      </c>
      <c r="L130" s="50" t="str">
        <f>VLOOKUP(Table1[[#This Row],[STUDENT COUNT]],RNG_STUDENT_CATEGORY,2,TRUE)</f>
        <v>Medium</v>
      </c>
      <c r="M130" s="50" t="str">
        <f>_xlfn.XLOOKUP(Table1[[#This Row],[CATEGORY OF STUDENT ASSO]],CATEGORY!$D$11:$D$15,CATEGORY!$B$11:$B$15)</f>
        <v>3001 to 5000</v>
      </c>
    </row>
    <row r="131" spans="1:13" x14ac:dyDescent="0.25">
      <c r="A131" s="16" t="s">
        <v>123</v>
      </c>
      <c r="B131" s="16" t="s">
        <v>154</v>
      </c>
      <c r="C131" s="16" t="s">
        <v>126</v>
      </c>
      <c r="D131" s="16" t="s">
        <v>6</v>
      </c>
      <c r="E131" s="16" t="s">
        <v>3</v>
      </c>
      <c r="F131" s="16">
        <v>483</v>
      </c>
      <c r="G131" s="16">
        <v>4590</v>
      </c>
      <c r="H131" s="16" t="s">
        <v>4</v>
      </c>
      <c r="I131" s="17">
        <v>31976</v>
      </c>
      <c r="J131" s="16" t="s">
        <v>648</v>
      </c>
      <c r="K131" s="16" t="s">
        <v>649</v>
      </c>
      <c r="L131" s="50" t="str">
        <f>VLOOKUP(Table1[[#This Row],[STUDENT COUNT]],RNG_STUDENT_CATEGORY,2,TRUE)</f>
        <v>Medium</v>
      </c>
      <c r="M131" s="50" t="str">
        <f>_xlfn.XLOOKUP(Table1[[#This Row],[CATEGORY OF STUDENT ASSO]],CATEGORY!$D$11:$D$15,CATEGORY!$B$11:$B$15)</f>
        <v>3001 to 5000</v>
      </c>
    </row>
    <row r="132" spans="1:13" x14ac:dyDescent="0.25">
      <c r="A132" s="16" t="s">
        <v>123</v>
      </c>
      <c r="B132" s="16" t="s">
        <v>155</v>
      </c>
      <c r="C132" s="16" t="s">
        <v>128</v>
      </c>
      <c r="D132" s="16" t="s">
        <v>6</v>
      </c>
      <c r="E132" s="16" t="s">
        <v>3</v>
      </c>
      <c r="F132" s="16">
        <v>648</v>
      </c>
      <c r="G132" s="16">
        <v>1831</v>
      </c>
      <c r="H132" s="16" t="s">
        <v>4</v>
      </c>
      <c r="I132" s="17">
        <v>38842</v>
      </c>
      <c r="J132" s="16" t="s">
        <v>650</v>
      </c>
      <c r="K132" s="16" t="s">
        <v>651</v>
      </c>
      <c r="L132" s="50" t="str">
        <f>VLOOKUP(Table1[[#This Row],[STUDENT COUNT]],RNG_STUDENT_CATEGORY,2,TRUE)</f>
        <v>Small</v>
      </c>
      <c r="M132" s="50" t="str">
        <f>_xlfn.XLOOKUP(Table1[[#This Row],[CATEGORY OF STUDENT ASSO]],CATEGORY!$D$11:$D$15,CATEGORY!$B$11:$B$15)</f>
        <v>10001 to 3000</v>
      </c>
    </row>
    <row r="133" spans="1:13" x14ac:dyDescent="0.25">
      <c r="A133" s="16" t="s">
        <v>123</v>
      </c>
      <c r="B133" s="16" t="s">
        <v>156</v>
      </c>
      <c r="C133" s="16" t="s">
        <v>124</v>
      </c>
      <c r="D133" s="16" t="s">
        <v>6</v>
      </c>
      <c r="E133" s="16" t="s">
        <v>3</v>
      </c>
      <c r="F133" s="16">
        <v>685</v>
      </c>
      <c r="G133" s="16">
        <v>5572</v>
      </c>
      <c r="H133" s="16" t="s">
        <v>4</v>
      </c>
      <c r="I133" s="17">
        <v>26163</v>
      </c>
      <c r="J133" s="16" t="s">
        <v>650</v>
      </c>
      <c r="K133" s="16" t="s">
        <v>651</v>
      </c>
      <c r="L133" s="50" t="str">
        <f>VLOOKUP(Table1[[#This Row],[STUDENT COUNT]],RNG_STUDENT_CATEGORY,2,TRUE)</f>
        <v>Large</v>
      </c>
      <c r="M133" s="50" t="str">
        <f>_xlfn.XLOOKUP(Table1[[#This Row],[CATEGORY OF STUDENT ASSO]],CATEGORY!$D$11:$D$15,CATEGORY!$B$11:$B$15)</f>
        <v>5001 to 10000</v>
      </c>
    </row>
    <row r="134" spans="1:13" x14ac:dyDescent="0.25">
      <c r="A134" s="16" t="s">
        <v>123</v>
      </c>
      <c r="B134" s="16" t="s">
        <v>157</v>
      </c>
      <c r="C134" s="16" t="s">
        <v>124</v>
      </c>
      <c r="D134" s="16" t="s">
        <v>6</v>
      </c>
      <c r="E134" s="16" t="s">
        <v>3</v>
      </c>
      <c r="F134" s="16">
        <v>199</v>
      </c>
      <c r="G134" s="16">
        <v>1782</v>
      </c>
      <c r="H134" s="16" t="s">
        <v>10</v>
      </c>
      <c r="I134" s="17">
        <v>40856</v>
      </c>
      <c r="J134" s="16" t="s">
        <v>648</v>
      </c>
      <c r="K134" s="16" t="s">
        <v>649</v>
      </c>
      <c r="L134" s="50" t="str">
        <f>VLOOKUP(Table1[[#This Row],[STUDENT COUNT]],RNG_STUDENT_CATEGORY,2,TRUE)</f>
        <v>Small</v>
      </c>
      <c r="M134" s="50" t="str">
        <f>_xlfn.XLOOKUP(Table1[[#This Row],[CATEGORY OF STUDENT ASSO]],CATEGORY!$D$11:$D$15,CATEGORY!$B$11:$B$15)</f>
        <v>10001 to 3000</v>
      </c>
    </row>
    <row r="135" spans="1:13" x14ac:dyDescent="0.25">
      <c r="A135" s="16" t="s">
        <v>123</v>
      </c>
      <c r="B135" s="16" t="s">
        <v>158</v>
      </c>
      <c r="C135" s="16" t="s">
        <v>124</v>
      </c>
      <c r="D135" s="16" t="s">
        <v>6</v>
      </c>
      <c r="E135" s="16" t="s">
        <v>3</v>
      </c>
      <c r="F135" s="16">
        <v>189</v>
      </c>
      <c r="G135" s="16">
        <v>2399</v>
      </c>
      <c r="H135" s="16" t="s">
        <v>4</v>
      </c>
      <c r="I135" s="17">
        <v>29479</v>
      </c>
      <c r="J135" s="16" t="s">
        <v>648</v>
      </c>
      <c r="K135" s="16" t="s">
        <v>649</v>
      </c>
      <c r="L135" s="50" t="str">
        <f>VLOOKUP(Table1[[#This Row],[STUDENT COUNT]],RNG_STUDENT_CATEGORY,2,TRUE)</f>
        <v>Small</v>
      </c>
      <c r="M135" s="50" t="str">
        <f>_xlfn.XLOOKUP(Table1[[#This Row],[CATEGORY OF STUDENT ASSO]],CATEGORY!$D$11:$D$15,CATEGORY!$B$11:$B$15)</f>
        <v>10001 to 3000</v>
      </c>
    </row>
    <row r="136" spans="1:13" x14ac:dyDescent="0.25">
      <c r="A136" s="16" t="s">
        <v>123</v>
      </c>
      <c r="B136" s="16" t="s">
        <v>159</v>
      </c>
      <c r="C136" s="16" t="s">
        <v>128</v>
      </c>
      <c r="D136" s="16" t="s">
        <v>6</v>
      </c>
      <c r="E136" s="16" t="s">
        <v>3</v>
      </c>
      <c r="F136" s="16">
        <v>1247</v>
      </c>
      <c r="G136" s="16">
        <v>5309</v>
      </c>
      <c r="H136" s="16" t="s">
        <v>10</v>
      </c>
      <c r="I136" s="17">
        <v>40191</v>
      </c>
      <c r="J136" s="16" t="s">
        <v>652</v>
      </c>
      <c r="K136" s="16" t="s">
        <v>653</v>
      </c>
      <c r="L136" s="50" t="str">
        <f>VLOOKUP(Table1[[#This Row],[STUDENT COUNT]],RNG_STUDENT_CATEGORY,2,TRUE)</f>
        <v>Large</v>
      </c>
      <c r="M136" s="50" t="str">
        <f>_xlfn.XLOOKUP(Table1[[#This Row],[CATEGORY OF STUDENT ASSO]],CATEGORY!$D$11:$D$15,CATEGORY!$B$11:$B$15)</f>
        <v>5001 to 10000</v>
      </c>
    </row>
    <row r="137" spans="1:13" x14ac:dyDescent="0.25">
      <c r="A137" s="16" t="s">
        <v>123</v>
      </c>
      <c r="B137" s="16" t="s">
        <v>160</v>
      </c>
      <c r="C137" s="16" t="s">
        <v>126</v>
      </c>
      <c r="D137" s="16" t="s">
        <v>6</v>
      </c>
      <c r="E137" s="16" t="s">
        <v>3</v>
      </c>
      <c r="F137" s="16">
        <v>1268</v>
      </c>
      <c r="G137" s="16">
        <v>6815</v>
      </c>
      <c r="H137" s="16" t="s">
        <v>4</v>
      </c>
      <c r="I137" s="17">
        <v>29705</v>
      </c>
      <c r="J137" s="16" t="s">
        <v>652</v>
      </c>
      <c r="K137" s="16" t="s">
        <v>653</v>
      </c>
      <c r="L137" s="50" t="str">
        <f>VLOOKUP(Table1[[#This Row],[STUDENT COUNT]],RNG_STUDENT_CATEGORY,2,TRUE)</f>
        <v>Large</v>
      </c>
      <c r="M137" s="50" t="str">
        <f>_xlfn.XLOOKUP(Table1[[#This Row],[CATEGORY OF STUDENT ASSO]],CATEGORY!$D$11:$D$15,CATEGORY!$B$11:$B$15)</f>
        <v>5001 to 10000</v>
      </c>
    </row>
    <row r="138" spans="1:13" x14ac:dyDescent="0.25">
      <c r="A138" s="16" t="s">
        <v>123</v>
      </c>
      <c r="B138" s="16" t="s">
        <v>161</v>
      </c>
      <c r="C138" s="16" t="s">
        <v>124</v>
      </c>
      <c r="D138" s="16" t="s">
        <v>6</v>
      </c>
      <c r="E138" s="16" t="s">
        <v>3</v>
      </c>
      <c r="F138" s="16">
        <v>685</v>
      </c>
      <c r="G138" s="16">
        <v>4628</v>
      </c>
      <c r="H138" s="16" t="s">
        <v>4</v>
      </c>
      <c r="I138" s="17">
        <v>26163</v>
      </c>
      <c r="J138" s="16" t="s">
        <v>650</v>
      </c>
      <c r="K138" s="16" t="s">
        <v>651</v>
      </c>
      <c r="L138" s="50" t="str">
        <f>VLOOKUP(Table1[[#This Row],[STUDENT COUNT]],RNG_STUDENT_CATEGORY,2,TRUE)</f>
        <v>Medium</v>
      </c>
      <c r="M138" s="50" t="str">
        <f>_xlfn.XLOOKUP(Table1[[#This Row],[CATEGORY OF STUDENT ASSO]],CATEGORY!$D$11:$D$15,CATEGORY!$B$11:$B$15)</f>
        <v>3001 to 5000</v>
      </c>
    </row>
    <row r="139" spans="1:13" x14ac:dyDescent="0.25">
      <c r="A139" s="16" t="s">
        <v>123</v>
      </c>
      <c r="B139" s="16" t="s">
        <v>162</v>
      </c>
      <c r="C139" s="16" t="s">
        <v>124</v>
      </c>
      <c r="D139" s="16" t="s">
        <v>6</v>
      </c>
      <c r="E139" s="16" t="s">
        <v>3</v>
      </c>
      <c r="F139" s="16">
        <v>596</v>
      </c>
      <c r="G139" s="16">
        <v>4207</v>
      </c>
      <c r="H139" s="16" t="s">
        <v>4</v>
      </c>
      <c r="I139" s="17">
        <v>32662</v>
      </c>
      <c r="J139" s="16" t="s">
        <v>650</v>
      </c>
      <c r="K139" s="16" t="s">
        <v>651</v>
      </c>
      <c r="L139" s="50" t="str">
        <f>VLOOKUP(Table1[[#This Row],[STUDENT COUNT]],RNG_STUDENT_CATEGORY,2,TRUE)</f>
        <v>Medium</v>
      </c>
      <c r="M139" s="50" t="str">
        <f>_xlfn.XLOOKUP(Table1[[#This Row],[CATEGORY OF STUDENT ASSO]],CATEGORY!$D$11:$D$15,CATEGORY!$B$11:$B$15)</f>
        <v>3001 to 5000</v>
      </c>
    </row>
    <row r="140" spans="1:13" x14ac:dyDescent="0.25">
      <c r="A140" s="16" t="s">
        <v>123</v>
      </c>
      <c r="B140" s="16" t="s">
        <v>163</v>
      </c>
      <c r="C140" s="16" t="s">
        <v>126</v>
      </c>
      <c r="D140" s="16" t="s">
        <v>6</v>
      </c>
      <c r="E140" s="16" t="s">
        <v>3</v>
      </c>
      <c r="F140" s="16">
        <v>1004</v>
      </c>
      <c r="G140" s="16">
        <v>5671</v>
      </c>
      <c r="H140" s="16" t="s">
        <v>4</v>
      </c>
      <c r="I140" s="17">
        <v>26323</v>
      </c>
      <c r="J140" s="16" t="s">
        <v>652</v>
      </c>
      <c r="K140" s="16" t="s">
        <v>653</v>
      </c>
      <c r="L140" s="50" t="str">
        <f>VLOOKUP(Table1[[#This Row],[STUDENT COUNT]],RNG_STUDENT_CATEGORY,2,TRUE)</f>
        <v>Large</v>
      </c>
      <c r="M140" s="50" t="str">
        <f>_xlfn.XLOOKUP(Table1[[#This Row],[CATEGORY OF STUDENT ASSO]],CATEGORY!$D$11:$D$15,CATEGORY!$B$11:$B$15)</f>
        <v>5001 to 10000</v>
      </c>
    </row>
    <row r="141" spans="1:13" x14ac:dyDescent="0.25">
      <c r="A141" s="16" t="s">
        <v>123</v>
      </c>
      <c r="B141" s="16" t="s">
        <v>164</v>
      </c>
      <c r="C141" s="16" t="s">
        <v>124</v>
      </c>
      <c r="D141" s="16" t="s">
        <v>6</v>
      </c>
      <c r="E141" s="16" t="s">
        <v>3</v>
      </c>
      <c r="F141" s="16">
        <v>128</v>
      </c>
      <c r="G141" s="16">
        <v>1194</v>
      </c>
      <c r="H141" s="16" t="s">
        <v>4</v>
      </c>
      <c r="I141" s="17">
        <v>33147</v>
      </c>
      <c r="J141" s="16" t="s">
        <v>648</v>
      </c>
      <c r="K141" s="16" t="s">
        <v>649</v>
      </c>
      <c r="L141" s="50" t="str">
        <f>VLOOKUP(Table1[[#This Row],[STUDENT COUNT]],RNG_STUDENT_CATEGORY,2,TRUE)</f>
        <v>Small</v>
      </c>
      <c r="M141" s="50" t="str">
        <f>_xlfn.XLOOKUP(Table1[[#This Row],[CATEGORY OF STUDENT ASSO]],CATEGORY!$D$11:$D$15,CATEGORY!$B$11:$B$15)</f>
        <v>10001 to 3000</v>
      </c>
    </row>
    <row r="142" spans="1:13" x14ac:dyDescent="0.25">
      <c r="A142" s="16" t="s">
        <v>123</v>
      </c>
      <c r="B142" s="16" t="s">
        <v>165</v>
      </c>
      <c r="C142" s="16" t="s">
        <v>130</v>
      </c>
      <c r="D142" s="16" t="s">
        <v>6</v>
      </c>
      <c r="E142" s="16" t="s">
        <v>3</v>
      </c>
      <c r="F142" s="16">
        <v>645</v>
      </c>
      <c r="G142" s="16">
        <v>4654</v>
      </c>
      <c r="H142" s="16" t="s">
        <v>4</v>
      </c>
      <c r="I142" s="17">
        <v>37012</v>
      </c>
      <c r="J142" s="16" t="s">
        <v>650</v>
      </c>
      <c r="K142" s="16" t="s">
        <v>651</v>
      </c>
      <c r="L142" s="50" t="str">
        <f>VLOOKUP(Table1[[#This Row],[STUDENT COUNT]],RNG_STUDENT_CATEGORY,2,TRUE)</f>
        <v>Medium</v>
      </c>
      <c r="M142" s="50" t="str">
        <f>_xlfn.XLOOKUP(Table1[[#This Row],[CATEGORY OF STUDENT ASSO]],CATEGORY!$D$11:$D$15,CATEGORY!$B$11:$B$15)</f>
        <v>3001 to 5000</v>
      </c>
    </row>
    <row r="143" spans="1:13" x14ac:dyDescent="0.25">
      <c r="A143" s="16" t="s">
        <v>123</v>
      </c>
      <c r="B143" s="16" t="s">
        <v>166</v>
      </c>
      <c r="C143" s="16" t="s">
        <v>124</v>
      </c>
      <c r="D143" s="16" t="s">
        <v>6</v>
      </c>
      <c r="E143" s="16" t="s">
        <v>3</v>
      </c>
      <c r="F143" s="16">
        <v>497</v>
      </c>
      <c r="G143" s="16">
        <v>4086</v>
      </c>
      <c r="H143" s="16" t="s">
        <v>4</v>
      </c>
      <c r="I143" s="17">
        <v>32002</v>
      </c>
      <c r="J143" s="16" t="s">
        <v>648</v>
      </c>
      <c r="K143" s="16" t="s">
        <v>649</v>
      </c>
      <c r="L143" s="50" t="str">
        <f>VLOOKUP(Table1[[#This Row],[STUDENT COUNT]],RNG_STUDENT_CATEGORY,2,TRUE)</f>
        <v>Medium</v>
      </c>
      <c r="M143" s="50" t="str">
        <f>_xlfn.XLOOKUP(Table1[[#This Row],[CATEGORY OF STUDENT ASSO]],CATEGORY!$D$11:$D$15,CATEGORY!$B$11:$B$15)</f>
        <v>3001 to 5000</v>
      </c>
    </row>
    <row r="144" spans="1:13" x14ac:dyDescent="0.25">
      <c r="A144" s="16" t="s">
        <v>123</v>
      </c>
      <c r="B144" s="16" t="s">
        <v>167</v>
      </c>
      <c r="C144" s="16" t="s">
        <v>128</v>
      </c>
      <c r="D144" s="16" t="s">
        <v>6</v>
      </c>
      <c r="E144" s="16" t="s">
        <v>3</v>
      </c>
      <c r="F144" s="16">
        <v>1815</v>
      </c>
      <c r="G144" s="16">
        <v>5647</v>
      </c>
      <c r="H144" s="16" t="s">
        <v>4</v>
      </c>
      <c r="I144" s="17">
        <v>26163</v>
      </c>
      <c r="J144" s="16" t="s">
        <v>652</v>
      </c>
      <c r="K144" s="16" t="s">
        <v>653</v>
      </c>
      <c r="L144" s="50" t="str">
        <f>VLOOKUP(Table1[[#This Row],[STUDENT COUNT]],RNG_STUDENT_CATEGORY,2,TRUE)</f>
        <v>Large</v>
      </c>
      <c r="M144" s="50" t="str">
        <f>_xlfn.XLOOKUP(Table1[[#This Row],[CATEGORY OF STUDENT ASSO]],CATEGORY!$D$11:$D$15,CATEGORY!$B$11:$B$15)</f>
        <v>5001 to 10000</v>
      </c>
    </row>
    <row r="145" spans="1:13" x14ac:dyDescent="0.25">
      <c r="A145" s="16" t="s">
        <v>123</v>
      </c>
      <c r="B145" s="16" t="s">
        <v>168</v>
      </c>
      <c r="C145" s="16" t="s">
        <v>128</v>
      </c>
      <c r="D145" s="16" t="s">
        <v>6</v>
      </c>
      <c r="E145" s="16" t="s">
        <v>3</v>
      </c>
      <c r="F145" s="16">
        <v>2061</v>
      </c>
      <c r="G145" s="16">
        <v>6389</v>
      </c>
      <c r="H145" s="16" t="s">
        <v>4</v>
      </c>
      <c r="I145" s="17">
        <v>28238</v>
      </c>
      <c r="J145" s="16" t="s">
        <v>652</v>
      </c>
      <c r="K145" s="16" t="s">
        <v>653</v>
      </c>
      <c r="L145" s="50" t="str">
        <f>VLOOKUP(Table1[[#This Row],[STUDENT COUNT]],RNG_STUDENT_CATEGORY,2,TRUE)</f>
        <v>Large</v>
      </c>
      <c r="M145" s="50" t="str">
        <f>_xlfn.XLOOKUP(Table1[[#This Row],[CATEGORY OF STUDENT ASSO]],CATEGORY!$D$11:$D$15,CATEGORY!$B$11:$B$15)</f>
        <v>5001 to 10000</v>
      </c>
    </row>
    <row r="146" spans="1:13" x14ac:dyDescent="0.25">
      <c r="A146" s="16" t="s">
        <v>123</v>
      </c>
      <c r="B146" s="16" t="s">
        <v>169</v>
      </c>
      <c r="C146" s="16" t="s">
        <v>140</v>
      </c>
      <c r="D146" s="16" t="s">
        <v>6</v>
      </c>
      <c r="E146" s="16" t="s">
        <v>3</v>
      </c>
      <c r="F146" s="16">
        <v>402</v>
      </c>
      <c r="G146" s="16">
        <v>1228</v>
      </c>
      <c r="H146" s="16" t="s">
        <v>10</v>
      </c>
      <c r="I146" s="17">
        <v>41642</v>
      </c>
      <c r="J146" s="16" t="s">
        <v>648</v>
      </c>
      <c r="K146" s="16" t="s">
        <v>649</v>
      </c>
      <c r="L146" s="50" t="str">
        <f>VLOOKUP(Table1[[#This Row],[STUDENT COUNT]],RNG_STUDENT_CATEGORY,2,TRUE)</f>
        <v>Small</v>
      </c>
      <c r="M146" s="50" t="str">
        <f>_xlfn.XLOOKUP(Table1[[#This Row],[CATEGORY OF STUDENT ASSO]],CATEGORY!$D$11:$D$15,CATEGORY!$B$11:$B$15)</f>
        <v>10001 to 3000</v>
      </c>
    </row>
    <row r="147" spans="1:13" x14ac:dyDescent="0.25">
      <c r="A147" s="16" t="s">
        <v>123</v>
      </c>
      <c r="B147" s="16" t="s">
        <v>170</v>
      </c>
      <c r="C147" s="16" t="s">
        <v>128</v>
      </c>
      <c r="D147" s="16" t="s">
        <v>6</v>
      </c>
      <c r="E147" s="16" t="s">
        <v>3</v>
      </c>
      <c r="F147" s="16">
        <v>584</v>
      </c>
      <c r="G147" s="16">
        <v>1773</v>
      </c>
      <c r="H147" s="16" t="s">
        <v>10</v>
      </c>
      <c r="I147" s="17">
        <v>42230</v>
      </c>
      <c r="J147" s="16" t="s">
        <v>650</v>
      </c>
      <c r="K147" s="16" t="s">
        <v>651</v>
      </c>
      <c r="L147" s="50" t="str">
        <f>VLOOKUP(Table1[[#This Row],[STUDENT COUNT]],RNG_STUDENT_CATEGORY,2,TRUE)</f>
        <v>Small</v>
      </c>
      <c r="M147" s="50" t="str">
        <f>_xlfn.XLOOKUP(Table1[[#This Row],[CATEGORY OF STUDENT ASSO]],CATEGORY!$D$11:$D$15,CATEGORY!$B$11:$B$15)</f>
        <v>10001 to 3000</v>
      </c>
    </row>
    <row r="148" spans="1:13" x14ac:dyDescent="0.25">
      <c r="A148" s="16" t="s">
        <v>123</v>
      </c>
      <c r="B148" s="16" t="s">
        <v>171</v>
      </c>
      <c r="C148" s="16" t="s">
        <v>130</v>
      </c>
      <c r="D148" s="16" t="s">
        <v>6</v>
      </c>
      <c r="E148" s="16" t="s">
        <v>3</v>
      </c>
      <c r="F148" s="16">
        <v>135</v>
      </c>
      <c r="G148" s="16">
        <v>1082</v>
      </c>
      <c r="H148" s="16" t="s">
        <v>10</v>
      </c>
      <c r="I148" s="17">
        <v>42045</v>
      </c>
      <c r="J148" s="16" t="s">
        <v>648</v>
      </c>
      <c r="K148" s="16" t="s">
        <v>649</v>
      </c>
      <c r="L148" s="50" t="str">
        <f>VLOOKUP(Table1[[#This Row],[STUDENT COUNT]],RNG_STUDENT_CATEGORY,2,TRUE)</f>
        <v>Small</v>
      </c>
      <c r="M148" s="50" t="str">
        <f>_xlfn.XLOOKUP(Table1[[#This Row],[CATEGORY OF STUDENT ASSO]],CATEGORY!$D$11:$D$15,CATEGORY!$B$11:$B$15)</f>
        <v>10001 to 3000</v>
      </c>
    </row>
    <row r="149" spans="1:13" x14ac:dyDescent="0.25">
      <c r="A149" s="16" t="s">
        <v>123</v>
      </c>
      <c r="B149" s="16" t="s">
        <v>172</v>
      </c>
      <c r="C149" s="16" t="s">
        <v>124</v>
      </c>
      <c r="D149" s="16" t="s">
        <v>6</v>
      </c>
      <c r="E149" s="16" t="s">
        <v>3</v>
      </c>
      <c r="F149" s="16">
        <v>3995</v>
      </c>
      <c r="G149" s="16">
        <v>10713</v>
      </c>
      <c r="H149" s="16" t="s">
        <v>4</v>
      </c>
      <c r="I149" s="17">
        <v>42230</v>
      </c>
      <c r="J149" s="16" t="s">
        <v>654</v>
      </c>
      <c r="K149" s="16" t="s">
        <v>655</v>
      </c>
      <c r="L149" s="50" t="str">
        <f>VLOOKUP(Table1[[#This Row],[STUDENT COUNT]],RNG_STUDENT_CATEGORY,2,TRUE)</f>
        <v>Mega</v>
      </c>
      <c r="M149" s="50" t="str">
        <f>_xlfn.XLOOKUP(Table1[[#This Row],[CATEGORY OF STUDENT ASSO]],CATEGORY!$D$11:$D$15,CATEGORY!$B$11:$B$15)</f>
        <v>&gt;10000</v>
      </c>
    </row>
    <row r="150" spans="1:13" hidden="1" x14ac:dyDescent="0.25">
      <c r="A150" s="16" t="s">
        <v>123</v>
      </c>
      <c r="B150" s="16" t="s">
        <v>173</v>
      </c>
      <c r="C150" s="16" t="s">
        <v>128</v>
      </c>
      <c r="D150" s="16" t="s">
        <v>6</v>
      </c>
      <c r="E150" s="16" t="s">
        <v>26</v>
      </c>
      <c r="F150" s="16">
        <v>777</v>
      </c>
      <c r="G150" s="16">
        <v>2520</v>
      </c>
      <c r="H150" s="16" t="s">
        <v>10</v>
      </c>
      <c r="I150" s="17">
        <v>42774</v>
      </c>
      <c r="J150" s="16" t="s">
        <v>650</v>
      </c>
      <c r="K150" s="16" t="s">
        <v>651</v>
      </c>
      <c r="L150" s="50"/>
      <c r="M150" s="50"/>
    </row>
    <row r="151" spans="1:13" hidden="1" x14ac:dyDescent="0.25">
      <c r="A151" s="16" t="s">
        <v>123</v>
      </c>
      <c r="B151" s="16" t="s">
        <v>174</v>
      </c>
      <c r="C151" s="16" t="s">
        <v>128</v>
      </c>
      <c r="D151" s="16" t="s">
        <v>6</v>
      </c>
      <c r="E151" s="16" t="s">
        <v>26</v>
      </c>
      <c r="F151" s="16">
        <v>390</v>
      </c>
      <c r="G151" s="16">
        <v>1066</v>
      </c>
      <c r="H151" s="16" t="s">
        <v>10</v>
      </c>
      <c r="I151" s="17">
        <v>45518</v>
      </c>
      <c r="J151" s="16" t="s">
        <v>648</v>
      </c>
      <c r="K151" s="16" t="s">
        <v>649</v>
      </c>
      <c r="L151" s="50"/>
      <c r="M151" s="50"/>
    </row>
    <row r="152" spans="1:13" hidden="1" x14ac:dyDescent="0.25">
      <c r="A152" s="16" t="s">
        <v>123</v>
      </c>
      <c r="B152" s="16" t="s">
        <v>175</v>
      </c>
      <c r="C152" s="16" t="s">
        <v>140</v>
      </c>
      <c r="D152" s="16" t="s">
        <v>6</v>
      </c>
      <c r="E152" s="16" t="s">
        <v>26</v>
      </c>
      <c r="F152" s="16">
        <v>259</v>
      </c>
      <c r="G152" s="16">
        <v>767</v>
      </c>
      <c r="H152" s="16" t="s">
        <v>10</v>
      </c>
      <c r="I152" s="17">
        <v>45804</v>
      </c>
      <c r="J152" s="16" t="s">
        <v>648</v>
      </c>
      <c r="K152" s="16" t="s">
        <v>649</v>
      </c>
      <c r="L152" s="50"/>
      <c r="M152" s="50"/>
    </row>
    <row r="153" spans="1:13" hidden="1" x14ac:dyDescent="0.25">
      <c r="A153" s="16" t="s">
        <v>123</v>
      </c>
      <c r="B153" s="16" t="s">
        <v>176</v>
      </c>
      <c r="C153" s="16" t="s">
        <v>140</v>
      </c>
      <c r="D153" s="16" t="s">
        <v>6</v>
      </c>
      <c r="E153" s="16" t="s">
        <v>26</v>
      </c>
      <c r="F153" s="16">
        <v>243</v>
      </c>
      <c r="G153" s="16">
        <v>682</v>
      </c>
      <c r="H153" s="16" t="s">
        <v>10</v>
      </c>
      <c r="I153" s="17">
        <v>45804</v>
      </c>
      <c r="J153" s="16" t="s">
        <v>648</v>
      </c>
      <c r="K153" s="16" t="s">
        <v>649</v>
      </c>
      <c r="L153" s="50"/>
      <c r="M153" s="50"/>
    </row>
    <row r="154" spans="1:13" hidden="1" x14ac:dyDescent="0.25">
      <c r="A154" s="11" t="s">
        <v>177</v>
      </c>
      <c r="B154" s="11" t="s">
        <v>177</v>
      </c>
      <c r="C154" s="11" t="s">
        <v>178</v>
      </c>
      <c r="D154" s="11" t="s">
        <v>2</v>
      </c>
      <c r="E154" s="11" t="s">
        <v>3</v>
      </c>
      <c r="F154" s="11">
        <v>62255</v>
      </c>
      <c r="G154" s="11">
        <v>91486</v>
      </c>
      <c r="H154" s="11" t="s">
        <v>4</v>
      </c>
      <c r="I154" s="14"/>
      <c r="J154" s="11"/>
      <c r="K154" s="11"/>
      <c r="L154" s="50"/>
      <c r="M154" s="50"/>
    </row>
    <row r="155" spans="1:13" x14ac:dyDescent="0.25">
      <c r="A155" s="16" t="s">
        <v>177</v>
      </c>
      <c r="B155" s="16" t="s">
        <v>179</v>
      </c>
      <c r="C155" s="16" t="s">
        <v>180</v>
      </c>
      <c r="D155" s="16" t="s">
        <v>6</v>
      </c>
      <c r="E155" s="16" t="s">
        <v>3</v>
      </c>
      <c r="F155" s="16">
        <v>13934</v>
      </c>
      <c r="G155" s="16">
        <v>22997</v>
      </c>
      <c r="H155" s="16" t="s">
        <v>4</v>
      </c>
      <c r="I155" s="17">
        <v>22737</v>
      </c>
      <c r="J155" s="16" t="s">
        <v>656</v>
      </c>
      <c r="K155" s="16" t="s">
        <v>657</v>
      </c>
      <c r="L155" s="50" t="str">
        <f>VLOOKUP(Table1[[#This Row],[STUDENT COUNT]],RNG_STUDENT_CATEGORY,2,TRUE)</f>
        <v>Mega</v>
      </c>
      <c r="M155" s="50" t="str">
        <f>_xlfn.XLOOKUP(Table1[[#This Row],[CATEGORY OF STUDENT ASSO]],CATEGORY!$D$11:$D$15,CATEGORY!$B$11:$B$15)</f>
        <v>&gt;10000</v>
      </c>
    </row>
    <row r="156" spans="1:13" x14ac:dyDescent="0.25">
      <c r="A156" s="16" t="s">
        <v>177</v>
      </c>
      <c r="B156" s="16" t="s">
        <v>181</v>
      </c>
      <c r="C156" s="16" t="s">
        <v>178</v>
      </c>
      <c r="D156" s="16" t="s">
        <v>6</v>
      </c>
      <c r="E156" s="16" t="s">
        <v>3</v>
      </c>
      <c r="F156" s="16">
        <v>679</v>
      </c>
      <c r="G156" s="16">
        <v>2884</v>
      </c>
      <c r="H156" s="16" t="s">
        <v>4</v>
      </c>
      <c r="I156" s="17">
        <v>37513</v>
      </c>
      <c r="J156" s="16" t="s">
        <v>650</v>
      </c>
      <c r="K156" s="16" t="s">
        <v>651</v>
      </c>
      <c r="L156" s="50" t="str">
        <f>VLOOKUP(Table1[[#This Row],[STUDENT COUNT]],RNG_STUDENT_CATEGORY,2,TRUE)</f>
        <v>Small</v>
      </c>
      <c r="M156" s="50" t="str">
        <f>_xlfn.XLOOKUP(Table1[[#This Row],[CATEGORY OF STUDENT ASSO]],CATEGORY!$D$11:$D$15,CATEGORY!$B$11:$B$15)</f>
        <v>10001 to 3000</v>
      </c>
    </row>
    <row r="157" spans="1:13" x14ac:dyDescent="0.25">
      <c r="A157" s="16" t="s">
        <v>177</v>
      </c>
      <c r="B157" s="16" t="s">
        <v>182</v>
      </c>
      <c r="C157" s="16" t="s">
        <v>178</v>
      </c>
      <c r="D157" s="16" t="s">
        <v>6</v>
      </c>
      <c r="E157" s="16" t="s">
        <v>3</v>
      </c>
      <c r="F157" s="16">
        <v>772</v>
      </c>
      <c r="G157" s="16">
        <v>3395</v>
      </c>
      <c r="H157" s="16" t="s">
        <v>4</v>
      </c>
      <c r="I157" s="17">
        <v>37882</v>
      </c>
      <c r="J157" s="16" t="s">
        <v>650</v>
      </c>
      <c r="K157" s="16" t="s">
        <v>651</v>
      </c>
      <c r="L157" s="50" t="str">
        <f>VLOOKUP(Table1[[#This Row],[STUDENT COUNT]],RNG_STUDENT_CATEGORY,2,TRUE)</f>
        <v>Medium</v>
      </c>
      <c r="M157" s="50" t="str">
        <f>_xlfn.XLOOKUP(Table1[[#This Row],[CATEGORY OF STUDENT ASSO]],CATEGORY!$D$11:$D$15,CATEGORY!$B$11:$B$15)</f>
        <v>3001 to 5000</v>
      </c>
    </row>
    <row r="158" spans="1:13" x14ac:dyDescent="0.25">
      <c r="A158" s="16" t="s">
        <v>177</v>
      </c>
      <c r="B158" s="16" t="s">
        <v>183</v>
      </c>
      <c r="C158" s="16" t="s">
        <v>178</v>
      </c>
      <c r="D158" s="16" t="s">
        <v>6</v>
      </c>
      <c r="E158" s="16" t="s">
        <v>3</v>
      </c>
      <c r="F158" s="16">
        <v>543</v>
      </c>
      <c r="G158" s="16">
        <v>2253</v>
      </c>
      <c r="H158" s="16" t="s">
        <v>4</v>
      </c>
      <c r="I158" s="17">
        <v>39534</v>
      </c>
      <c r="J158" s="16" t="s">
        <v>650</v>
      </c>
      <c r="K158" s="16" t="s">
        <v>651</v>
      </c>
      <c r="L158" s="50" t="str">
        <f>VLOOKUP(Table1[[#This Row],[STUDENT COUNT]],RNG_STUDENT_CATEGORY,2,TRUE)</f>
        <v>Small</v>
      </c>
      <c r="M158" s="50" t="str">
        <f>_xlfn.XLOOKUP(Table1[[#This Row],[CATEGORY OF STUDENT ASSO]],CATEGORY!$D$11:$D$15,CATEGORY!$B$11:$B$15)</f>
        <v>10001 to 3000</v>
      </c>
    </row>
    <row r="159" spans="1:13" x14ac:dyDescent="0.25">
      <c r="A159" s="16" t="s">
        <v>177</v>
      </c>
      <c r="B159" s="16" t="s">
        <v>184</v>
      </c>
      <c r="C159" s="16" t="s">
        <v>180</v>
      </c>
      <c r="D159" s="16" t="s">
        <v>6</v>
      </c>
      <c r="E159" s="16" t="s">
        <v>3</v>
      </c>
      <c r="F159" s="16">
        <v>446</v>
      </c>
      <c r="G159" s="16">
        <v>1670</v>
      </c>
      <c r="H159" s="16" t="s">
        <v>4</v>
      </c>
      <c r="I159" s="17">
        <v>31505</v>
      </c>
      <c r="J159" s="16" t="s">
        <v>648</v>
      </c>
      <c r="K159" s="16" t="s">
        <v>649</v>
      </c>
      <c r="L159" s="50" t="str">
        <f>VLOOKUP(Table1[[#This Row],[STUDENT COUNT]],RNG_STUDENT_CATEGORY,2,TRUE)</f>
        <v>Small</v>
      </c>
      <c r="M159" s="50" t="str">
        <f>_xlfn.XLOOKUP(Table1[[#This Row],[CATEGORY OF STUDENT ASSO]],CATEGORY!$D$11:$D$15,CATEGORY!$B$11:$B$15)</f>
        <v>10001 to 3000</v>
      </c>
    </row>
    <row r="160" spans="1:13" x14ac:dyDescent="0.25">
      <c r="A160" s="16" t="s">
        <v>177</v>
      </c>
      <c r="B160" s="16" t="s">
        <v>185</v>
      </c>
      <c r="C160" s="16" t="s">
        <v>178</v>
      </c>
      <c r="D160" s="16" t="s">
        <v>6</v>
      </c>
      <c r="E160" s="16" t="s">
        <v>3</v>
      </c>
      <c r="F160" s="16">
        <v>1497</v>
      </c>
      <c r="G160" s="16">
        <v>6644</v>
      </c>
      <c r="H160" s="16" t="s">
        <v>4</v>
      </c>
      <c r="I160" s="17">
        <v>31402</v>
      </c>
      <c r="J160" s="16" t="s">
        <v>652</v>
      </c>
      <c r="K160" s="16" t="s">
        <v>653</v>
      </c>
      <c r="L160" s="50" t="str">
        <f>VLOOKUP(Table1[[#This Row],[STUDENT COUNT]],RNG_STUDENT_CATEGORY,2,TRUE)</f>
        <v>Large</v>
      </c>
      <c r="M160" s="50" t="str">
        <f>_xlfn.XLOOKUP(Table1[[#This Row],[CATEGORY OF STUDENT ASSO]],CATEGORY!$D$11:$D$15,CATEGORY!$B$11:$B$15)</f>
        <v>5001 to 10000</v>
      </c>
    </row>
    <row r="161" spans="1:13" x14ac:dyDescent="0.25">
      <c r="A161" s="16" t="s">
        <v>177</v>
      </c>
      <c r="B161" s="16" t="s">
        <v>186</v>
      </c>
      <c r="C161" s="16" t="s">
        <v>180</v>
      </c>
      <c r="D161" s="16" t="s">
        <v>6</v>
      </c>
      <c r="E161" s="16" t="s">
        <v>3</v>
      </c>
      <c r="F161" s="16">
        <v>3332</v>
      </c>
      <c r="G161" s="16">
        <v>8443</v>
      </c>
      <c r="H161" s="16" t="s">
        <v>4</v>
      </c>
      <c r="I161" s="17">
        <v>24781</v>
      </c>
      <c r="J161" s="16" t="s">
        <v>654</v>
      </c>
      <c r="K161" s="16" t="s">
        <v>655</v>
      </c>
      <c r="L161" s="50" t="str">
        <f>VLOOKUP(Table1[[#This Row],[STUDENT COUNT]],RNG_STUDENT_CATEGORY,2,TRUE)</f>
        <v>Large</v>
      </c>
      <c r="M161" s="50" t="str">
        <f>_xlfn.XLOOKUP(Table1[[#This Row],[CATEGORY OF STUDENT ASSO]],CATEGORY!$D$11:$D$15,CATEGORY!$B$11:$B$15)</f>
        <v>5001 to 10000</v>
      </c>
    </row>
    <row r="162" spans="1:13" x14ac:dyDescent="0.25">
      <c r="A162" s="16" t="s">
        <v>177</v>
      </c>
      <c r="B162" s="16" t="s">
        <v>187</v>
      </c>
      <c r="C162" s="16" t="s">
        <v>180</v>
      </c>
      <c r="D162" s="16" t="s">
        <v>6</v>
      </c>
      <c r="E162" s="16" t="s">
        <v>3</v>
      </c>
      <c r="F162" s="16">
        <v>356</v>
      </c>
      <c r="G162" s="16">
        <v>1454</v>
      </c>
      <c r="H162" s="16" t="s">
        <v>4</v>
      </c>
      <c r="I162" s="17">
        <v>38968</v>
      </c>
      <c r="J162" s="16" t="s">
        <v>648</v>
      </c>
      <c r="K162" s="16" t="s">
        <v>649</v>
      </c>
      <c r="L162" s="50" t="str">
        <f>VLOOKUP(Table1[[#This Row],[STUDENT COUNT]],RNG_STUDENT_CATEGORY,2,TRUE)</f>
        <v>Small</v>
      </c>
      <c r="M162" s="50" t="str">
        <f>_xlfn.XLOOKUP(Table1[[#This Row],[CATEGORY OF STUDENT ASSO]],CATEGORY!$D$11:$D$15,CATEGORY!$B$11:$B$15)</f>
        <v>10001 to 3000</v>
      </c>
    </row>
    <row r="163" spans="1:13" x14ac:dyDescent="0.25">
      <c r="A163" s="16" t="s">
        <v>177</v>
      </c>
      <c r="B163" s="16" t="s">
        <v>188</v>
      </c>
      <c r="C163" s="16" t="s">
        <v>180</v>
      </c>
      <c r="D163" s="16" t="s">
        <v>6</v>
      </c>
      <c r="E163" s="16" t="s">
        <v>3</v>
      </c>
      <c r="F163" s="16">
        <v>515</v>
      </c>
      <c r="G163" s="16">
        <v>2363</v>
      </c>
      <c r="H163" s="16" t="s">
        <v>10</v>
      </c>
      <c r="I163" s="17">
        <v>40191</v>
      </c>
      <c r="J163" s="16" t="s">
        <v>650</v>
      </c>
      <c r="K163" s="16" t="s">
        <v>651</v>
      </c>
      <c r="L163" s="50" t="str">
        <f>VLOOKUP(Table1[[#This Row],[STUDENT COUNT]],RNG_STUDENT_CATEGORY,2,TRUE)</f>
        <v>Small</v>
      </c>
      <c r="M163" s="50" t="str">
        <f>_xlfn.XLOOKUP(Table1[[#This Row],[CATEGORY OF STUDENT ASSO]],CATEGORY!$D$11:$D$15,CATEGORY!$B$11:$B$15)</f>
        <v>10001 to 3000</v>
      </c>
    </row>
    <row r="164" spans="1:13" x14ac:dyDescent="0.25">
      <c r="A164" s="16" t="s">
        <v>177</v>
      </c>
      <c r="B164" s="16" t="s">
        <v>189</v>
      </c>
      <c r="C164" s="16" t="s">
        <v>178</v>
      </c>
      <c r="D164" s="16" t="s">
        <v>6</v>
      </c>
      <c r="E164" s="16" t="s">
        <v>3</v>
      </c>
      <c r="F164" s="16">
        <v>325</v>
      </c>
      <c r="G164" s="16">
        <v>1682</v>
      </c>
      <c r="H164" s="16" t="s">
        <v>10</v>
      </c>
      <c r="I164" s="17">
        <v>41426</v>
      </c>
      <c r="J164" s="16" t="s">
        <v>648</v>
      </c>
      <c r="K164" s="16" t="s">
        <v>649</v>
      </c>
      <c r="L164" s="50" t="str">
        <f>VLOOKUP(Table1[[#This Row],[STUDENT COUNT]],RNG_STUDENT_CATEGORY,2,TRUE)</f>
        <v>Small</v>
      </c>
      <c r="M164" s="50" t="str">
        <f>_xlfn.XLOOKUP(Table1[[#This Row],[CATEGORY OF STUDENT ASSO]],CATEGORY!$D$11:$D$15,CATEGORY!$B$11:$B$15)</f>
        <v>10001 to 3000</v>
      </c>
    </row>
    <row r="165" spans="1:13" x14ac:dyDescent="0.25">
      <c r="A165" s="16" t="s">
        <v>177</v>
      </c>
      <c r="B165" s="16" t="s">
        <v>190</v>
      </c>
      <c r="C165" s="16" t="s">
        <v>180</v>
      </c>
      <c r="D165" s="16" t="s">
        <v>6</v>
      </c>
      <c r="E165" s="16" t="s">
        <v>3</v>
      </c>
      <c r="F165" s="16">
        <v>539</v>
      </c>
      <c r="G165" s="16">
        <v>1749</v>
      </c>
      <c r="H165" s="16" t="s">
        <v>10</v>
      </c>
      <c r="I165" s="17">
        <v>40163</v>
      </c>
      <c r="J165" s="16" t="s">
        <v>650</v>
      </c>
      <c r="K165" s="16" t="s">
        <v>651</v>
      </c>
      <c r="L165" s="50" t="str">
        <f>VLOOKUP(Table1[[#This Row],[STUDENT COUNT]],RNG_STUDENT_CATEGORY,2,TRUE)</f>
        <v>Small</v>
      </c>
      <c r="M165" s="50" t="str">
        <f>_xlfn.XLOOKUP(Table1[[#This Row],[CATEGORY OF STUDENT ASSO]],CATEGORY!$D$11:$D$15,CATEGORY!$B$11:$B$15)</f>
        <v>10001 to 3000</v>
      </c>
    </row>
    <row r="166" spans="1:13" x14ac:dyDescent="0.25">
      <c r="A166" s="16" t="s">
        <v>177</v>
      </c>
      <c r="B166" s="16" t="s">
        <v>191</v>
      </c>
      <c r="C166" s="16" t="s">
        <v>191</v>
      </c>
      <c r="D166" s="16" t="s">
        <v>6</v>
      </c>
      <c r="E166" s="16" t="s">
        <v>3</v>
      </c>
      <c r="F166" s="16">
        <v>735</v>
      </c>
      <c r="G166" s="16">
        <v>1947</v>
      </c>
      <c r="H166" s="16" t="s">
        <v>4</v>
      </c>
      <c r="I166" s="17">
        <v>27164</v>
      </c>
      <c r="J166" s="16" t="s">
        <v>650</v>
      </c>
      <c r="K166" s="16" t="s">
        <v>651</v>
      </c>
      <c r="L166" s="50" t="str">
        <f>VLOOKUP(Table1[[#This Row],[STUDENT COUNT]],RNG_STUDENT_CATEGORY,2,TRUE)</f>
        <v>Small</v>
      </c>
      <c r="M166" s="50" t="str">
        <f>_xlfn.XLOOKUP(Table1[[#This Row],[CATEGORY OF STUDENT ASSO]],CATEGORY!$D$11:$D$15,CATEGORY!$B$11:$B$15)</f>
        <v>10001 to 3000</v>
      </c>
    </row>
    <row r="167" spans="1:13" x14ac:dyDescent="0.25">
      <c r="A167" s="16" t="s">
        <v>177</v>
      </c>
      <c r="B167" s="16" t="s">
        <v>192</v>
      </c>
      <c r="C167" s="16" t="s">
        <v>178</v>
      </c>
      <c r="D167" s="16" t="s">
        <v>6</v>
      </c>
      <c r="E167" s="16" t="s">
        <v>3</v>
      </c>
      <c r="F167" s="16">
        <v>672</v>
      </c>
      <c r="G167" s="16">
        <v>2582</v>
      </c>
      <c r="H167" s="16" t="s">
        <v>4</v>
      </c>
      <c r="I167" s="17">
        <v>31897</v>
      </c>
      <c r="J167" s="16" t="s">
        <v>650</v>
      </c>
      <c r="K167" s="16" t="s">
        <v>651</v>
      </c>
      <c r="L167" s="50" t="str">
        <f>VLOOKUP(Table1[[#This Row],[STUDENT COUNT]],RNG_STUDENT_CATEGORY,2,TRUE)</f>
        <v>Small</v>
      </c>
      <c r="M167" s="50" t="str">
        <f>_xlfn.XLOOKUP(Table1[[#This Row],[CATEGORY OF STUDENT ASSO]],CATEGORY!$D$11:$D$15,CATEGORY!$B$11:$B$15)</f>
        <v>10001 to 3000</v>
      </c>
    </row>
    <row r="168" spans="1:13" x14ac:dyDescent="0.25">
      <c r="A168" s="16" t="s">
        <v>177</v>
      </c>
      <c r="B168" s="16" t="s">
        <v>193</v>
      </c>
      <c r="C168" s="16" t="s">
        <v>180</v>
      </c>
      <c r="D168" s="16" t="s">
        <v>6</v>
      </c>
      <c r="E168" s="16" t="s">
        <v>3</v>
      </c>
      <c r="F168" s="16">
        <v>907</v>
      </c>
      <c r="G168" s="16">
        <v>3217</v>
      </c>
      <c r="H168" s="16" t="s">
        <v>4</v>
      </c>
      <c r="I168" s="17">
        <v>37326</v>
      </c>
      <c r="J168" s="16" t="s">
        <v>650</v>
      </c>
      <c r="K168" s="16" t="s">
        <v>651</v>
      </c>
      <c r="L168" s="50" t="str">
        <f>VLOOKUP(Table1[[#This Row],[STUDENT COUNT]],RNG_STUDENT_CATEGORY,2,TRUE)</f>
        <v>Medium</v>
      </c>
      <c r="M168" s="50" t="str">
        <f>_xlfn.XLOOKUP(Table1[[#This Row],[CATEGORY OF STUDENT ASSO]],CATEGORY!$D$11:$D$15,CATEGORY!$B$11:$B$15)</f>
        <v>3001 to 5000</v>
      </c>
    </row>
    <row r="169" spans="1:13" x14ac:dyDescent="0.25">
      <c r="A169" s="16" t="s">
        <v>177</v>
      </c>
      <c r="B169" s="16" t="s">
        <v>194</v>
      </c>
      <c r="C169" s="16" t="s">
        <v>178</v>
      </c>
      <c r="D169" s="16" t="s">
        <v>6</v>
      </c>
      <c r="E169" s="16" t="s">
        <v>3</v>
      </c>
      <c r="F169" s="16">
        <v>796</v>
      </c>
      <c r="G169" s="16">
        <v>3118</v>
      </c>
      <c r="H169" s="16" t="s">
        <v>4</v>
      </c>
      <c r="I169" s="17">
        <v>29788</v>
      </c>
      <c r="J169" s="16" t="s">
        <v>650</v>
      </c>
      <c r="K169" s="16" t="s">
        <v>651</v>
      </c>
      <c r="L169" s="50" t="str">
        <f>VLOOKUP(Table1[[#This Row],[STUDENT COUNT]],RNG_STUDENT_CATEGORY,2,TRUE)</f>
        <v>Medium</v>
      </c>
      <c r="M169" s="50" t="str">
        <f>_xlfn.XLOOKUP(Table1[[#This Row],[CATEGORY OF STUDENT ASSO]],CATEGORY!$D$11:$D$15,CATEGORY!$B$11:$B$15)</f>
        <v>3001 to 5000</v>
      </c>
    </row>
    <row r="170" spans="1:13" x14ac:dyDescent="0.25">
      <c r="A170" s="16" t="s">
        <v>177</v>
      </c>
      <c r="B170" s="16" t="s">
        <v>195</v>
      </c>
      <c r="C170" s="16" t="s">
        <v>178</v>
      </c>
      <c r="D170" s="16" t="s">
        <v>6</v>
      </c>
      <c r="E170" s="16" t="s">
        <v>3</v>
      </c>
      <c r="F170" s="16">
        <v>339</v>
      </c>
      <c r="G170" s="16">
        <v>3324</v>
      </c>
      <c r="H170" s="16" t="s">
        <v>10</v>
      </c>
      <c r="I170" s="17">
        <v>40360</v>
      </c>
      <c r="J170" s="16" t="s">
        <v>648</v>
      </c>
      <c r="K170" s="16" t="s">
        <v>649</v>
      </c>
      <c r="L170" s="50" t="str">
        <f>VLOOKUP(Table1[[#This Row],[STUDENT COUNT]],RNG_STUDENT_CATEGORY,2,TRUE)</f>
        <v>Medium</v>
      </c>
      <c r="M170" s="50" t="str">
        <f>_xlfn.XLOOKUP(Table1[[#This Row],[CATEGORY OF STUDENT ASSO]],CATEGORY!$D$11:$D$15,CATEGORY!$B$11:$B$15)</f>
        <v>3001 to 5000</v>
      </c>
    </row>
    <row r="171" spans="1:13" x14ac:dyDescent="0.25">
      <c r="A171" s="16" t="s">
        <v>177</v>
      </c>
      <c r="B171" s="16" t="s">
        <v>196</v>
      </c>
      <c r="C171" s="16" t="s">
        <v>178</v>
      </c>
      <c r="D171" s="16" t="s">
        <v>6</v>
      </c>
      <c r="E171" s="16" t="s">
        <v>3</v>
      </c>
      <c r="F171" s="16">
        <v>3630</v>
      </c>
      <c r="G171" s="16">
        <v>9329</v>
      </c>
      <c r="H171" s="16" t="s">
        <v>4</v>
      </c>
      <c r="I171" s="17">
        <v>28601</v>
      </c>
      <c r="J171" s="16" t="s">
        <v>654</v>
      </c>
      <c r="K171" s="16" t="s">
        <v>655</v>
      </c>
      <c r="L171" s="50" t="str">
        <f>VLOOKUP(Table1[[#This Row],[STUDENT COUNT]],RNG_STUDENT_CATEGORY,2,TRUE)</f>
        <v>Large</v>
      </c>
      <c r="M171" s="50" t="str">
        <f>_xlfn.XLOOKUP(Table1[[#This Row],[CATEGORY OF STUDENT ASSO]],CATEGORY!$D$11:$D$15,CATEGORY!$B$11:$B$15)</f>
        <v>5001 to 10000</v>
      </c>
    </row>
    <row r="172" spans="1:13" x14ac:dyDescent="0.25">
      <c r="A172" s="16" t="s">
        <v>177</v>
      </c>
      <c r="B172" s="16" t="s">
        <v>197</v>
      </c>
      <c r="C172" s="16" t="s">
        <v>178</v>
      </c>
      <c r="D172" s="16" t="s">
        <v>6</v>
      </c>
      <c r="E172" s="16" t="s">
        <v>3</v>
      </c>
      <c r="F172" s="16">
        <v>295</v>
      </c>
      <c r="G172" s="16">
        <v>2203</v>
      </c>
      <c r="H172" s="16" t="s">
        <v>10</v>
      </c>
      <c r="I172" s="17">
        <v>41426</v>
      </c>
      <c r="J172" s="16" t="s">
        <v>648</v>
      </c>
      <c r="K172" s="16" t="s">
        <v>649</v>
      </c>
      <c r="L172" s="50" t="str">
        <f>VLOOKUP(Table1[[#This Row],[STUDENT COUNT]],RNG_STUDENT_CATEGORY,2,TRUE)</f>
        <v>Small</v>
      </c>
      <c r="M172" s="50" t="str">
        <f>_xlfn.XLOOKUP(Table1[[#This Row],[CATEGORY OF STUDENT ASSO]],CATEGORY!$D$11:$D$15,CATEGORY!$B$11:$B$15)</f>
        <v>10001 to 3000</v>
      </c>
    </row>
    <row r="173" spans="1:13" x14ac:dyDescent="0.25">
      <c r="A173" s="16" t="s">
        <v>177</v>
      </c>
      <c r="B173" s="16" t="s">
        <v>198</v>
      </c>
      <c r="C173" s="16" t="s">
        <v>178</v>
      </c>
      <c r="D173" s="16" t="s">
        <v>6</v>
      </c>
      <c r="E173" s="16" t="s">
        <v>3</v>
      </c>
      <c r="F173" s="16">
        <v>2246</v>
      </c>
      <c r="G173" s="16">
        <v>7645</v>
      </c>
      <c r="H173" s="16" t="s">
        <v>4</v>
      </c>
      <c r="I173" s="17">
        <v>29788</v>
      </c>
      <c r="J173" s="16" t="s">
        <v>652</v>
      </c>
      <c r="K173" s="16" t="s">
        <v>653</v>
      </c>
      <c r="L173" s="50" t="str">
        <f>VLOOKUP(Table1[[#This Row],[STUDENT COUNT]],RNG_STUDENT_CATEGORY,2,TRUE)</f>
        <v>Large</v>
      </c>
      <c r="M173" s="50" t="str">
        <f>_xlfn.XLOOKUP(Table1[[#This Row],[CATEGORY OF STUDENT ASSO]],CATEGORY!$D$11:$D$15,CATEGORY!$B$11:$B$15)</f>
        <v>5001 to 10000</v>
      </c>
    </row>
    <row r="174" spans="1:13" x14ac:dyDescent="0.25">
      <c r="A174" s="16" t="s">
        <v>177</v>
      </c>
      <c r="B174" s="16" t="s">
        <v>199</v>
      </c>
      <c r="C174" s="16" t="s">
        <v>178</v>
      </c>
      <c r="D174" s="16" t="s">
        <v>6</v>
      </c>
      <c r="E174" s="16" t="s">
        <v>3</v>
      </c>
      <c r="F174" s="16">
        <v>3706</v>
      </c>
      <c r="G174" s="16">
        <v>8798</v>
      </c>
      <c r="H174" s="16" t="s">
        <v>10</v>
      </c>
      <c r="I174" s="17">
        <v>38687</v>
      </c>
      <c r="J174" s="16" t="s">
        <v>654</v>
      </c>
      <c r="K174" s="16" t="s">
        <v>655</v>
      </c>
      <c r="L174" s="50" t="str">
        <f>VLOOKUP(Table1[[#This Row],[STUDENT COUNT]],RNG_STUDENT_CATEGORY,2,TRUE)</f>
        <v>Large</v>
      </c>
      <c r="M174" s="50" t="str">
        <f>_xlfn.XLOOKUP(Table1[[#This Row],[CATEGORY OF STUDENT ASSO]],CATEGORY!$D$11:$D$15,CATEGORY!$B$11:$B$15)</f>
        <v>5001 to 10000</v>
      </c>
    </row>
    <row r="175" spans="1:13" x14ac:dyDescent="0.25">
      <c r="A175" s="16" t="s">
        <v>177</v>
      </c>
      <c r="B175" s="16" t="s">
        <v>200</v>
      </c>
      <c r="C175" s="16" t="s">
        <v>180</v>
      </c>
      <c r="D175" s="16" t="s">
        <v>6</v>
      </c>
      <c r="E175" s="16" t="s">
        <v>3</v>
      </c>
      <c r="F175" s="16">
        <v>249</v>
      </c>
      <c r="G175" s="16">
        <v>1014</v>
      </c>
      <c r="H175" s="16" t="s">
        <v>10</v>
      </c>
      <c r="I175" s="17">
        <v>41359</v>
      </c>
      <c r="J175" s="16" t="s">
        <v>648</v>
      </c>
      <c r="K175" s="16" t="s">
        <v>649</v>
      </c>
      <c r="L175" s="50" t="str">
        <f>VLOOKUP(Table1[[#This Row],[STUDENT COUNT]],RNG_STUDENT_CATEGORY,2,TRUE)</f>
        <v>Small</v>
      </c>
      <c r="M175" s="50" t="str">
        <f>_xlfn.XLOOKUP(Table1[[#This Row],[CATEGORY OF STUDENT ASSO]],CATEGORY!$D$11:$D$15,CATEGORY!$B$11:$B$15)</f>
        <v>10001 to 3000</v>
      </c>
    </row>
    <row r="176" spans="1:13" x14ac:dyDescent="0.25">
      <c r="A176" s="16" t="s">
        <v>177</v>
      </c>
      <c r="B176" s="16" t="s">
        <v>201</v>
      </c>
      <c r="C176" s="16" t="s">
        <v>178</v>
      </c>
      <c r="D176" s="16" t="s">
        <v>6</v>
      </c>
      <c r="E176" s="16" t="s">
        <v>3</v>
      </c>
      <c r="F176" s="16">
        <v>3047</v>
      </c>
      <c r="G176" s="16">
        <v>8710</v>
      </c>
      <c r="H176" s="16" t="s">
        <v>4</v>
      </c>
      <c r="I176" s="17">
        <v>39534</v>
      </c>
      <c r="J176" s="16" t="s">
        <v>654</v>
      </c>
      <c r="K176" s="16" t="s">
        <v>655</v>
      </c>
      <c r="L176" s="50" t="str">
        <f>VLOOKUP(Table1[[#This Row],[STUDENT COUNT]],RNG_STUDENT_CATEGORY,2,TRUE)</f>
        <v>Large</v>
      </c>
      <c r="M176" s="50" t="str">
        <f>_xlfn.XLOOKUP(Table1[[#This Row],[CATEGORY OF STUDENT ASSO]],CATEGORY!$D$11:$D$15,CATEGORY!$B$11:$B$15)</f>
        <v>5001 to 10000</v>
      </c>
    </row>
    <row r="177" spans="1:13" x14ac:dyDescent="0.25">
      <c r="A177" s="16" t="s">
        <v>177</v>
      </c>
      <c r="B177" s="16" t="s">
        <v>202</v>
      </c>
      <c r="C177" s="16" t="s">
        <v>178</v>
      </c>
      <c r="D177" s="16" t="s">
        <v>6</v>
      </c>
      <c r="E177" s="16" t="s">
        <v>3</v>
      </c>
      <c r="F177" s="16">
        <v>11270</v>
      </c>
      <c r="G177" s="16">
        <v>19760</v>
      </c>
      <c r="H177" s="16" t="s">
        <v>4</v>
      </c>
      <c r="I177" s="17">
        <v>22737</v>
      </c>
      <c r="J177" s="16" t="s">
        <v>656</v>
      </c>
      <c r="K177" s="16" t="s">
        <v>657</v>
      </c>
      <c r="L177" s="50" t="str">
        <f>VLOOKUP(Table1[[#This Row],[STUDENT COUNT]],RNG_STUDENT_CATEGORY,2,TRUE)</f>
        <v>Mega</v>
      </c>
      <c r="M177" s="50" t="str">
        <f>_xlfn.XLOOKUP(Table1[[#This Row],[CATEGORY OF STUDENT ASSO]],CATEGORY!$D$11:$D$15,CATEGORY!$B$11:$B$15)</f>
        <v>&gt;10000</v>
      </c>
    </row>
    <row r="178" spans="1:13" x14ac:dyDescent="0.25">
      <c r="A178" s="16" t="s">
        <v>177</v>
      </c>
      <c r="B178" s="16" t="s">
        <v>203</v>
      </c>
      <c r="C178" s="16" t="s">
        <v>180</v>
      </c>
      <c r="D178" s="16" t="s">
        <v>6</v>
      </c>
      <c r="E178" s="16" t="s">
        <v>3</v>
      </c>
      <c r="F178" s="16">
        <v>2526</v>
      </c>
      <c r="G178" s="16">
        <v>7426</v>
      </c>
      <c r="H178" s="16" t="s">
        <v>4</v>
      </c>
      <c r="I178" s="17">
        <v>28483</v>
      </c>
      <c r="J178" s="16" t="s">
        <v>654</v>
      </c>
      <c r="K178" s="16" t="s">
        <v>655</v>
      </c>
      <c r="L178" s="50" t="str">
        <f>VLOOKUP(Table1[[#This Row],[STUDENT COUNT]],RNG_STUDENT_CATEGORY,2,TRUE)</f>
        <v>Large</v>
      </c>
      <c r="M178" s="50" t="str">
        <f>_xlfn.XLOOKUP(Table1[[#This Row],[CATEGORY OF STUDENT ASSO]],CATEGORY!$D$11:$D$15,CATEGORY!$B$11:$B$15)</f>
        <v>5001 to 10000</v>
      </c>
    </row>
    <row r="179" spans="1:13" x14ac:dyDescent="0.25">
      <c r="A179" s="16" t="s">
        <v>177</v>
      </c>
      <c r="B179" s="16" t="s">
        <v>204</v>
      </c>
      <c r="C179" s="16" t="s">
        <v>178</v>
      </c>
      <c r="D179" s="16" t="s">
        <v>6</v>
      </c>
      <c r="E179" s="16" t="s">
        <v>3</v>
      </c>
      <c r="F179" s="16">
        <v>265</v>
      </c>
      <c r="G179" s="16">
        <v>1121</v>
      </c>
      <c r="H179" s="16" t="s">
        <v>10</v>
      </c>
      <c r="I179" s="17">
        <v>42552</v>
      </c>
      <c r="J179" s="16" t="s">
        <v>648</v>
      </c>
      <c r="K179" s="16" t="s">
        <v>649</v>
      </c>
      <c r="L179" s="50" t="str">
        <f>VLOOKUP(Table1[[#This Row],[STUDENT COUNT]],RNG_STUDENT_CATEGORY,2,TRUE)</f>
        <v>Small</v>
      </c>
      <c r="M179" s="50" t="str">
        <f>_xlfn.XLOOKUP(Table1[[#This Row],[CATEGORY OF STUDENT ASSO]],CATEGORY!$D$11:$D$15,CATEGORY!$B$11:$B$15)</f>
        <v>10001 to 3000</v>
      </c>
    </row>
    <row r="180" spans="1:13" x14ac:dyDescent="0.25">
      <c r="A180" s="16" t="s">
        <v>177</v>
      </c>
      <c r="B180" s="16" t="s">
        <v>205</v>
      </c>
      <c r="C180" s="16" t="s">
        <v>178</v>
      </c>
      <c r="D180" s="16" t="s">
        <v>6</v>
      </c>
      <c r="E180" s="16" t="s">
        <v>3</v>
      </c>
      <c r="F180" s="16">
        <v>392</v>
      </c>
      <c r="G180" s="16">
        <v>1825</v>
      </c>
      <c r="H180" s="16" t="s">
        <v>4</v>
      </c>
      <c r="I180" s="17">
        <v>31897</v>
      </c>
      <c r="J180" s="16" t="s">
        <v>648</v>
      </c>
      <c r="K180" s="16" t="s">
        <v>649</v>
      </c>
      <c r="L180" s="50" t="str">
        <f>VLOOKUP(Table1[[#This Row],[STUDENT COUNT]],RNG_STUDENT_CATEGORY,2,TRUE)</f>
        <v>Small</v>
      </c>
      <c r="M180" s="50" t="str">
        <f>_xlfn.XLOOKUP(Table1[[#This Row],[CATEGORY OF STUDENT ASSO]],CATEGORY!$D$11:$D$15,CATEGORY!$B$11:$B$15)</f>
        <v>10001 to 3000</v>
      </c>
    </row>
    <row r="181" spans="1:13" x14ac:dyDescent="0.25">
      <c r="A181" s="16" t="s">
        <v>177</v>
      </c>
      <c r="B181" s="16" t="s">
        <v>206</v>
      </c>
      <c r="C181" s="16" t="s">
        <v>178</v>
      </c>
      <c r="D181" s="16" t="s">
        <v>6</v>
      </c>
      <c r="E181" s="16" t="s">
        <v>3</v>
      </c>
      <c r="F181" s="16">
        <v>384</v>
      </c>
      <c r="G181" s="16">
        <v>2070</v>
      </c>
      <c r="H181" s="16" t="s">
        <v>10</v>
      </c>
      <c r="I181" s="17">
        <v>41359</v>
      </c>
      <c r="J181" s="16" t="s">
        <v>648</v>
      </c>
      <c r="K181" s="16" t="s">
        <v>649</v>
      </c>
      <c r="L181" s="50" t="str">
        <f>VLOOKUP(Table1[[#This Row],[STUDENT COUNT]],RNG_STUDENT_CATEGORY,2,TRUE)</f>
        <v>Small</v>
      </c>
      <c r="M181" s="50" t="str">
        <f>_xlfn.XLOOKUP(Table1[[#This Row],[CATEGORY OF STUDENT ASSO]],CATEGORY!$D$11:$D$15,CATEGORY!$B$11:$B$15)</f>
        <v>10001 to 3000</v>
      </c>
    </row>
    <row r="182" spans="1:13" x14ac:dyDescent="0.25">
      <c r="A182" s="16" t="s">
        <v>177</v>
      </c>
      <c r="B182" s="16" t="s">
        <v>207</v>
      </c>
      <c r="C182" s="16" t="s">
        <v>178</v>
      </c>
      <c r="D182" s="16" t="s">
        <v>6</v>
      </c>
      <c r="E182" s="16" t="s">
        <v>3</v>
      </c>
      <c r="F182" s="16">
        <v>420</v>
      </c>
      <c r="G182" s="16">
        <v>2378</v>
      </c>
      <c r="H182" s="16" t="s">
        <v>4</v>
      </c>
      <c r="I182" s="17">
        <v>31240</v>
      </c>
      <c r="J182" s="16" t="s">
        <v>648</v>
      </c>
      <c r="K182" s="16" t="s">
        <v>649</v>
      </c>
      <c r="L182" s="50" t="str">
        <f>VLOOKUP(Table1[[#This Row],[STUDENT COUNT]],RNG_STUDENT_CATEGORY,2,TRUE)</f>
        <v>Small</v>
      </c>
      <c r="M182" s="50" t="str">
        <f>_xlfn.XLOOKUP(Table1[[#This Row],[CATEGORY OF STUDENT ASSO]],CATEGORY!$D$11:$D$15,CATEGORY!$B$11:$B$15)</f>
        <v>10001 to 3000</v>
      </c>
    </row>
    <row r="183" spans="1:13" x14ac:dyDescent="0.25">
      <c r="A183" s="16" t="s">
        <v>177</v>
      </c>
      <c r="B183" s="16" t="s">
        <v>208</v>
      </c>
      <c r="C183" s="16" t="s">
        <v>180</v>
      </c>
      <c r="D183" s="16" t="s">
        <v>6</v>
      </c>
      <c r="E183" s="16" t="s">
        <v>3</v>
      </c>
      <c r="F183" s="16">
        <v>7470</v>
      </c>
      <c r="G183" s="16">
        <v>19792</v>
      </c>
      <c r="H183" s="16" t="s">
        <v>4</v>
      </c>
      <c r="I183" s="17">
        <v>26163</v>
      </c>
      <c r="J183" s="16" t="s">
        <v>656</v>
      </c>
      <c r="K183" s="16" t="s">
        <v>657</v>
      </c>
      <c r="L183" s="50" t="str">
        <f>VLOOKUP(Table1[[#This Row],[STUDENT COUNT]],RNG_STUDENT_CATEGORY,2,TRUE)</f>
        <v>Mega</v>
      </c>
      <c r="M183" s="50" t="str">
        <f>_xlfn.XLOOKUP(Table1[[#This Row],[CATEGORY OF STUDENT ASSO]],CATEGORY!$D$11:$D$15,CATEGORY!$B$11:$B$15)</f>
        <v>&gt;10000</v>
      </c>
    </row>
    <row r="184" spans="1:13" x14ac:dyDescent="0.25">
      <c r="A184" s="16" t="s">
        <v>177</v>
      </c>
      <c r="B184" s="16" t="s">
        <v>209</v>
      </c>
      <c r="C184" s="16" t="s">
        <v>178</v>
      </c>
      <c r="D184" s="16" t="s">
        <v>6</v>
      </c>
      <c r="E184" s="16" t="s">
        <v>3</v>
      </c>
      <c r="F184" s="16">
        <v>5200</v>
      </c>
      <c r="G184" s="16">
        <v>9358</v>
      </c>
      <c r="H184" s="16" t="s">
        <v>10</v>
      </c>
      <c r="I184" s="17">
        <v>38374</v>
      </c>
      <c r="J184" s="16" t="s">
        <v>656</v>
      </c>
      <c r="K184" s="16" t="s">
        <v>657</v>
      </c>
      <c r="L184" s="50" t="str">
        <f>VLOOKUP(Table1[[#This Row],[STUDENT COUNT]],RNG_STUDENT_CATEGORY,2,TRUE)</f>
        <v>Large</v>
      </c>
      <c r="M184" s="50" t="str">
        <f>_xlfn.XLOOKUP(Table1[[#This Row],[CATEGORY OF STUDENT ASSO]],CATEGORY!$D$11:$D$15,CATEGORY!$B$11:$B$15)</f>
        <v>5001 to 10000</v>
      </c>
    </row>
    <row r="185" spans="1:13" x14ac:dyDescent="0.25">
      <c r="A185" s="16" t="s">
        <v>177</v>
      </c>
      <c r="B185" s="16" t="s">
        <v>210</v>
      </c>
      <c r="C185" s="16" t="s">
        <v>180</v>
      </c>
      <c r="D185" s="16" t="s">
        <v>6</v>
      </c>
      <c r="E185" s="16" t="s">
        <v>3</v>
      </c>
      <c r="F185" s="16">
        <v>723</v>
      </c>
      <c r="G185" s="16">
        <v>2520</v>
      </c>
      <c r="H185" s="16" t="s">
        <v>4</v>
      </c>
      <c r="I185" s="17">
        <v>40003</v>
      </c>
      <c r="J185" s="16" t="s">
        <v>650</v>
      </c>
      <c r="K185" s="16" t="s">
        <v>651</v>
      </c>
      <c r="L185" s="50" t="str">
        <f>VLOOKUP(Table1[[#This Row],[STUDENT COUNT]],RNG_STUDENT_CATEGORY,2,TRUE)</f>
        <v>Small</v>
      </c>
      <c r="M185" s="50" t="str">
        <f>_xlfn.XLOOKUP(Table1[[#This Row],[CATEGORY OF STUDENT ASSO]],CATEGORY!$D$11:$D$15,CATEGORY!$B$11:$B$15)</f>
        <v>10001 to 3000</v>
      </c>
    </row>
    <row r="186" spans="1:13" x14ac:dyDescent="0.25">
      <c r="A186" s="16" t="s">
        <v>177</v>
      </c>
      <c r="B186" s="16" t="s">
        <v>211</v>
      </c>
      <c r="C186" s="16" t="s">
        <v>178</v>
      </c>
      <c r="D186" s="16" t="s">
        <v>6</v>
      </c>
      <c r="E186" s="16" t="s">
        <v>3</v>
      </c>
      <c r="F186" s="16">
        <v>4115</v>
      </c>
      <c r="G186" s="16">
        <v>11635</v>
      </c>
      <c r="H186" s="16" t="s">
        <v>10</v>
      </c>
      <c r="I186" s="17">
        <v>38374</v>
      </c>
      <c r="J186" s="16" t="s">
        <v>654</v>
      </c>
      <c r="K186" s="16" t="s">
        <v>655</v>
      </c>
      <c r="L186" s="50" t="str">
        <f>VLOOKUP(Table1[[#This Row],[STUDENT COUNT]],RNG_STUDENT_CATEGORY,2,TRUE)</f>
        <v>Mega</v>
      </c>
      <c r="M186" s="50" t="str">
        <f>_xlfn.XLOOKUP(Table1[[#This Row],[CATEGORY OF STUDENT ASSO]],CATEGORY!$D$11:$D$15,CATEGORY!$B$11:$B$15)</f>
        <v>&gt;10000</v>
      </c>
    </row>
    <row r="187" spans="1:13" x14ac:dyDescent="0.25">
      <c r="A187" s="16" t="s">
        <v>177</v>
      </c>
      <c r="B187" s="16" t="s">
        <v>212</v>
      </c>
      <c r="C187" s="16" t="s">
        <v>180</v>
      </c>
      <c r="D187" s="16" t="s">
        <v>6</v>
      </c>
      <c r="E187" s="16" t="s">
        <v>3</v>
      </c>
      <c r="F187" s="16">
        <v>363</v>
      </c>
      <c r="G187" s="16">
        <v>1110</v>
      </c>
      <c r="H187" s="16" t="s">
        <v>10</v>
      </c>
      <c r="I187" s="17">
        <v>42215</v>
      </c>
      <c r="J187" s="16" t="s">
        <v>648</v>
      </c>
      <c r="K187" s="16" t="s">
        <v>649</v>
      </c>
      <c r="L187" s="50" t="str">
        <f>VLOOKUP(Table1[[#This Row],[STUDENT COUNT]],RNG_STUDENT_CATEGORY,2,TRUE)</f>
        <v>Small</v>
      </c>
      <c r="M187" s="50" t="str">
        <f>_xlfn.XLOOKUP(Table1[[#This Row],[CATEGORY OF STUDENT ASSO]],CATEGORY!$D$11:$D$15,CATEGORY!$B$11:$B$15)</f>
        <v>10001 to 3000</v>
      </c>
    </row>
    <row r="188" spans="1:13" x14ac:dyDescent="0.25">
      <c r="A188" s="16" t="s">
        <v>177</v>
      </c>
      <c r="B188" s="16" t="s">
        <v>213</v>
      </c>
      <c r="C188" s="16" t="s">
        <v>178</v>
      </c>
      <c r="D188" s="16" t="s">
        <v>6</v>
      </c>
      <c r="E188" s="16" t="s">
        <v>3</v>
      </c>
      <c r="F188" s="16">
        <v>4748</v>
      </c>
      <c r="G188" s="16">
        <v>15748</v>
      </c>
      <c r="H188" s="16" t="s">
        <v>10</v>
      </c>
      <c r="I188" s="17">
        <v>42386</v>
      </c>
      <c r="J188" s="16" t="s">
        <v>654</v>
      </c>
      <c r="K188" s="16" t="s">
        <v>655</v>
      </c>
      <c r="L188" s="50" t="str">
        <f>VLOOKUP(Table1[[#This Row],[STUDENT COUNT]],RNG_STUDENT_CATEGORY,2,TRUE)</f>
        <v>Mega</v>
      </c>
      <c r="M188" s="50" t="str">
        <f>_xlfn.XLOOKUP(Table1[[#This Row],[CATEGORY OF STUDENT ASSO]],CATEGORY!$D$11:$D$15,CATEGORY!$B$11:$B$15)</f>
        <v>&gt;10000</v>
      </c>
    </row>
    <row r="189" spans="1:13" x14ac:dyDescent="0.25">
      <c r="A189" s="16" t="s">
        <v>177</v>
      </c>
      <c r="B189" s="16" t="s">
        <v>214</v>
      </c>
      <c r="C189" s="16" t="s">
        <v>178</v>
      </c>
      <c r="D189" s="16" t="s">
        <v>6</v>
      </c>
      <c r="E189" s="16" t="s">
        <v>3</v>
      </c>
      <c r="F189" s="16">
        <v>380</v>
      </c>
      <c r="G189" s="16">
        <v>1423</v>
      </c>
      <c r="H189" s="16" t="s">
        <v>10</v>
      </c>
      <c r="I189" s="17">
        <v>42552</v>
      </c>
      <c r="J189" s="16" t="s">
        <v>648</v>
      </c>
      <c r="K189" s="16" t="s">
        <v>649</v>
      </c>
      <c r="L189" s="50" t="str">
        <f>VLOOKUP(Table1[[#This Row],[STUDENT COUNT]],RNG_STUDENT_CATEGORY,2,TRUE)</f>
        <v>Small</v>
      </c>
      <c r="M189" s="50" t="str">
        <f>_xlfn.XLOOKUP(Table1[[#This Row],[CATEGORY OF STUDENT ASSO]],CATEGORY!$D$11:$D$15,CATEGORY!$B$11:$B$15)</f>
        <v>10001 to 3000</v>
      </c>
    </row>
    <row r="190" spans="1:13" x14ac:dyDescent="0.25">
      <c r="A190" s="16" t="s">
        <v>177</v>
      </c>
      <c r="B190" s="16" t="s">
        <v>215</v>
      </c>
      <c r="C190" s="16" t="s">
        <v>180</v>
      </c>
      <c r="D190" s="16" t="s">
        <v>6</v>
      </c>
      <c r="E190" s="16" t="s">
        <v>3</v>
      </c>
      <c r="F190" s="16">
        <v>847</v>
      </c>
      <c r="G190" s="16">
        <v>2771</v>
      </c>
      <c r="H190" s="16" t="s">
        <v>10</v>
      </c>
      <c r="I190" s="17">
        <v>45008</v>
      </c>
      <c r="J190" s="16" t="s">
        <v>650</v>
      </c>
      <c r="K190" s="16" t="s">
        <v>651</v>
      </c>
      <c r="L190" s="50" t="str">
        <f>VLOOKUP(Table1[[#This Row],[STUDENT COUNT]],RNG_STUDENT_CATEGORY,2,TRUE)</f>
        <v>Small</v>
      </c>
      <c r="M190" s="50" t="str">
        <f>_xlfn.XLOOKUP(Table1[[#This Row],[CATEGORY OF STUDENT ASSO]],CATEGORY!$D$11:$D$15,CATEGORY!$B$11:$B$15)</f>
        <v>10001 to 3000</v>
      </c>
    </row>
    <row r="191" spans="1:13" hidden="1" x14ac:dyDescent="0.25">
      <c r="A191" s="16" t="s">
        <v>177</v>
      </c>
      <c r="B191" s="16" t="s">
        <v>216</v>
      </c>
      <c r="C191" s="16" t="s">
        <v>178</v>
      </c>
      <c r="D191" s="16" t="s">
        <v>6</v>
      </c>
      <c r="E191" s="16" t="s">
        <v>26</v>
      </c>
      <c r="F191" s="16">
        <v>235</v>
      </c>
      <c r="G191" s="16">
        <v>846</v>
      </c>
      <c r="H191" s="16" t="s">
        <v>10</v>
      </c>
      <c r="I191" s="17">
        <v>45882</v>
      </c>
      <c r="J191" s="16" t="s">
        <v>648</v>
      </c>
      <c r="K191" s="16" t="s">
        <v>649</v>
      </c>
      <c r="L191" s="50"/>
      <c r="M191" s="50"/>
    </row>
    <row r="192" spans="1:13" hidden="1" x14ac:dyDescent="0.25">
      <c r="A192" s="19" t="s">
        <v>177</v>
      </c>
      <c r="B192" s="19" t="s">
        <v>217</v>
      </c>
      <c r="C192" s="19" t="s">
        <v>180</v>
      </c>
      <c r="D192" s="19" t="s">
        <v>6</v>
      </c>
      <c r="E192" s="19" t="s">
        <v>26</v>
      </c>
      <c r="F192" s="19">
        <v>226</v>
      </c>
      <c r="G192" s="19">
        <v>1315</v>
      </c>
      <c r="H192" s="19" t="s">
        <v>10</v>
      </c>
      <c r="I192" s="20">
        <v>45938</v>
      </c>
      <c r="J192" s="19" t="s">
        <v>648</v>
      </c>
      <c r="K192" s="16" t="s">
        <v>649</v>
      </c>
      <c r="L192" s="50"/>
      <c r="M192" s="50"/>
    </row>
  </sheetData>
  <pageMargins left="0" right="0" top="0" bottom="0" header="0.31496062992125984" footer="0.31496062992125984"/>
  <pageSetup paperSize="9" scale="7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E517-AF1B-4BB2-B773-DC7CA22DC936}">
  <sheetPr>
    <tabColor theme="9" tint="0.39997558519241921"/>
    <pageSetUpPr fitToPage="1"/>
  </sheetPr>
  <dimension ref="A3:G222"/>
  <sheetViews>
    <sheetView topLeftCell="A4" workbookViewId="0">
      <selection activeCell="A20" sqref="A20:G26"/>
    </sheetView>
  </sheetViews>
  <sheetFormatPr defaultRowHeight="18.75" x14ac:dyDescent="0.25"/>
  <cols>
    <col min="1" max="2" width="16.7109375" style="6" customWidth="1"/>
    <col min="3" max="3" width="19.5703125" style="6" bestFit="1" customWidth="1"/>
    <col min="4" max="7" width="16.7109375" style="6" customWidth="1"/>
    <col min="8" max="16384" width="9.140625" style="7"/>
  </cols>
  <sheetData>
    <row r="3" spans="1:5" ht="37.5" x14ac:dyDescent="0.25">
      <c r="A3" s="39" t="s">
        <v>224</v>
      </c>
      <c r="B3" s="39" t="s">
        <v>637</v>
      </c>
      <c r="C3" s="39" t="s">
        <v>638</v>
      </c>
      <c r="D3" s="39" t="s">
        <v>639</v>
      </c>
      <c r="E3" s="39" t="s">
        <v>640</v>
      </c>
    </row>
    <row r="4" spans="1:5" x14ac:dyDescent="0.25">
      <c r="A4" s="8" t="s">
        <v>0</v>
      </c>
      <c r="B4" s="8" t="s">
        <v>34</v>
      </c>
      <c r="C4" s="42">
        <v>25659</v>
      </c>
      <c r="D4" s="8" t="s">
        <v>75</v>
      </c>
      <c r="E4" s="42">
        <v>46059</v>
      </c>
    </row>
    <row r="5" spans="1:5" x14ac:dyDescent="0.25">
      <c r="A5" s="8" t="s">
        <v>76</v>
      </c>
      <c r="B5" s="8" t="s">
        <v>78</v>
      </c>
      <c r="C5" s="42">
        <v>27282</v>
      </c>
      <c r="D5" s="8" t="s">
        <v>92</v>
      </c>
      <c r="E5" s="42">
        <v>42630</v>
      </c>
    </row>
    <row r="6" spans="1:5" ht="37.5" x14ac:dyDescent="0.25">
      <c r="A6" s="8" t="s">
        <v>93</v>
      </c>
      <c r="B6" s="8" t="s">
        <v>97</v>
      </c>
      <c r="C6" s="42">
        <v>26999</v>
      </c>
      <c r="D6" s="8" t="s">
        <v>122</v>
      </c>
      <c r="E6" s="42">
        <v>45152</v>
      </c>
    </row>
    <row r="7" spans="1:5" ht="75" x14ac:dyDescent="0.25">
      <c r="A7" s="8" t="s">
        <v>123</v>
      </c>
      <c r="B7" s="8" t="s">
        <v>642</v>
      </c>
      <c r="C7" s="42">
        <v>22737</v>
      </c>
      <c r="D7" s="8" t="s">
        <v>644</v>
      </c>
      <c r="E7" s="42">
        <v>45804</v>
      </c>
    </row>
    <row r="8" spans="1:5" ht="37.5" x14ac:dyDescent="0.25">
      <c r="A8" s="8" t="s">
        <v>177</v>
      </c>
      <c r="B8" s="8" t="s">
        <v>643</v>
      </c>
      <c r="C8" s="42">
        <v>22737</v>
      </c>
      <c r="D8" s="8" t="s">
        <v>217</v>
      </c>
      <c r="E8" s="42">
        <v>45938</v>
      </c>
    </row>
    <row r="11" spans="1:5" ht="37.5" x14ac:dyDescent="0.25">
      <c r="A11" s="39" t="s">
        <v>224</v>
      </c>
      <c r="B11" s="39" t="s">
        <v>641</v>
      </c>
      <c r="C11" s="39" t="s">
        <v>636</v>
      </c>
      <c r="D11" s="8" t="s">
        <v>645</v>
      </c>
    </row>
    <row r="12" spans="1:5" x14ac:dyDescent="0.25">
      <c r="A12" s="8" t="s">
        <v>0</v>
      </c>
      <c r="B12" s="40">
        <v>86892</v>
      </c>
      <c r="C12" s="40">
        <v>263955</v>
      </c>
      <c r="D12" s="40">
        <v>62</v>
      </c>
    </row>
    <row r="13" spans="1:5" x14ac:dyDescent="0.25">
      <c r="A13" s="8" t="s">
        <v>76</v>
      </c>
      <c r="B13" s="40">
        <v>31029</v>
      </c>
      <c r="C13" s="40">
        <v>76410</v>
      </c>
      <c r="D13" s="40">
        <v>13</v>
      </c>
    </row>
    <row r="14" spans="1:5" x14ac:dyDescent="0.25">
      <c r="A14" s="8" t="s">
        <v>93</v>
      </c>
      <c r="B14" s="40">
        <v>82172</v>
      </c>
      <c r="C14" s="40">
        <v>169992</v>
      </c>
      <c r="D14" s="40">
        <v>25</v>
      </c>
    </row>
    <row r="15" spans="1:5" x14ac:dyDescent="0.25">
      <c r="A15" s="8" t="s">
        <v>123</v>
      </c>
      <c r="B15" s="40">
        <v>99023</v>
      </c>
      <c r="C15" s="40">
        <v>324085</v>
      </c>
      <c r="D15" s="40">
        <v>48</v>
      </c>
    </row>
    <row r="16" spans="1:5" x14ac:dyDescent="0.25">
      <c r="A16" s="8" t="s">
        <v>177</v>
      </c>
      <c r="B16" s="40">
        <v>141379</v>
      </c>
      <c r="C16" s="40">
        <v>300005</v>
      </c>
      <c r="D16" s="40">
        <v>38</v>
      </c>
    </row>
    <row r="17" spans="1:7" x14ac:dyDescent="0.25">
      <c r="A17" s="8" t="s">
        <v>635</v>
      </c>
      <c r="B17" s="40">
        <v>440495</v>
      </c>
      <c r="C17" s="40">
        <v>1134447</v>
      </c>
      <c r="D17" s="40">
        <v>186</v>
      </c>
    </row>
    <row r="19" spans="1:7" ht="56.25" x14ac:dyDescent="0.25">
      <c r="A19" s="10" t="s">
        <v>659</v>
      </c>
      <c r="B19" s="10" t="s">
        <v>658</v>
      </c>
    </row>
    <row r="20" spans="1:7" x14ac:dyDescent="0.25">
      <c r="A20" s="9" t="s">
        <v>224</v>
      </c>
      <c r="B20" s="8" t="s">
        <v>648</v>
      </c>
      <c r="C20" s="8" t="s">
        <v>650</v>
      </c>
      <c r="D20" s="8" t="s">
        <v>652</v>
      </c>
      <c r="E20" s="8" t="s">
        <v>654</v>
      </c>
      <c r="F20" s="8" t="s">
        <v>656</v>
      </c>
      <c r="G20" s="8" t="s">
        <v>635</v>
      </c>
    </row>
    <row r="21" spans="1:7" x14ac:dyDescent="0.25">
      <c r="A21" s="8" t="s">
        <v>0</v>
      </c>
      <c r="B21" s="8">
        <v>25</v>
      </c>
      <c r="C21" s="8">
        <v>21</v>
      </c>
      <c r="D21" s="8">
        <v>10</v>
      </c>
      <c r="E21" s="8">
        <v>4</v>
      </c>
      <c r="F21" s="8">
        <v>2</v>
      </c>
      <c r="G21" s="43">
        <v>62</v>
      </c>
    </row>
    <row r="22" spans="1:7" x14ac:dyDescent="0.25">
      <c r="A22" s="8" t="s">
        <v>76</v>
      </c>
      <c r="B22" s="8">
        <v>10</v>
      </c>
      <c r="C22" s="8">
        <v>1</v>
      </c>
      <c r="D22" s="8">
        <v>2</v>
      </c>
      <c r="E22" s="8"/>
      <c r="F22" s="8"/>
      <c r="G22" s="43">
        <v>13</v>
      </c>
    </row>
    <row r="23" spans="1:7" x14ac:dyDescent="0.25">
      <c r="A23" s="8" t="s">
        <v>93</v>
      </c>
      <c r="B23" s="8">
        <v>7</v>
      </c>
      <c r="C23" s="8">
        <v>10</v>
      </c>
      <c r="D23" s="8">
        <v>4</v>
      </c>
      <c r="E23" s="8">
        <v>3</v>
      </c>
      <c r="F23" s="8">
        <v>1</v>
      </c>
      <c r="G23" s="43">
        <v>25</v>
      </c>
    </row>
    <row r="24" spans="1:7" x14ac:dyDescent="0.25">
      <c r="A24" s="8" t="s">
        <v>123</v>
      </c>
      <c r="B24" s="8">
        <v>16</v>
      </c>
      <c r="C24" s="8">
        <v>19</v>
      </c>
      <c r="D24" s="8">
        <v>9</v>
      </c>
      <c r="E24" s="8">
        <v>2</v>
      </c>
      <c r="F24" s="8">
        <v>2</v>
      </c>
      <c r="G24" s="43">
        <v>48</v>
      </c>
    </row>
    <row r="25" spans="1:7" x14ac:dyDescent="0.25">
      <c r="A25" s="8" t="s">
        <v>177</v>
      </c>
      <c r="B25" s="8">
        <v>14</v>
      </c>
      <c r="C25" s="8">
        <v>11</v>
      </c>
      <c r="D25" s="8">
        <v>2</v>
      </c>
      <c r="E25" s="8">
        <v>7</v>
      </c>
      <c r="F25" s="8">
        <v>4</v>
      </c>
      <c r="G25" s="43">
        <v>38</v>
      </c>
    </row>
    <row r="26" spans="1:7" x14ac:dyDescent="0.25">
      <c r="A26" s="6" t="s">
        <v>635</v>
      </c>
      <c r="B26" s="8">
        <v>72</v>
      </c>
      <c r="C26" s="8">
        <v>62</v>
      </c>
      <c r="D26" s="8">
        <v>27</v>
      </c>
      <c r="E26" s="8">
        <v>16</v>
      </c>
      <c r="F26" s="8">
        <v>9</v>
      </c>
      <c r="G26" s="43">
        <v>186</v>
      </c>
    </row>
    <row r="30" spans="1:7" x14ac:dyDescent="0.25">
      <c r="A30" s="15" t="s">
        <v>658</v>
      </c>
      <c r="B30" s="15" t="s">
        <v>225</v>
      </c>
      <c r="C30" t="s">
        <v>659</v>
      </c>
    </row>
    <row r="31" spans="1:7" x14ac:dyDescent="0.25">
      <c r="A31" t="s">
        <v>648</v>
      </c>
      <c r="B31" t="s">
        <v>9</v>
      </c>
      <c r="C31">
        <v>1</v>
      </c>
    </row>
    <row r="32" spans="1:7" x14ac:dyDescent="0.25">
      <c r="A32"/>
      <c r="B32" t="s">
        <v>184</v>
      </c>
      <c r="C32">
        <v>1</v>
      </c>
    </row>
    <row r="33" spans="1:3" x14ac:dyDescent="0.25">
      <c r="A33"/>
      <c r="B33" t="s">
        <v>78</v>
      </c>
      <c r="C33">
        <v>1</v>
      </c>
    </row>
    <row r="34" spans="1:3" x14ac:dyDescent="0.25">
      <c r="A34"/>
      <c r="B34" t="s">
        <v>118</v>
      </c>
      <c r="C34">
        <v>1</v>
      </c>
    </row>
    <row r="35" spans="1:3" x14ac:dyDescent="0.25">
      <c r="A35"/>
      <c r="B35" t="s">
        <v>131</v>
      </c>
      <c r="C35">
        <v>1</v>
      </c>
    </row>
    <row r="36" spans="1:3" x14ac:dyDescent="0.25">
      <c r="A36"/>
      <c r="B36" t="s">
        <v>132</v>
      </c>
      <c r="C36">
        <v>1</v>
      </c>
    </row>
    <row r="37" spans="1:3" x14ac:dyDescent="0.25">
      <c r="A37"/>
      <c r="B37" t="s">
        <v>61</v>
      </c>
      <c r="C37">
        <v>1</v>
      </c>
    </row>
    <row r="38" spans="1:3" x14ac:dyDescent="0.25">
      <c r="A38"/>
      <c r="B38" t="s">
        <v>15</v>
      </c>
      <c r="C38">
        <v>1</v>
      </c>
    </row>
    <row r="39" spans="1:3" x14ac:dyDescent="0.25">
      <c r="A39"/>
      <c r="B39" t="s">
        <v>187</v>
      </c>
      <c r="C39">
        <v>1</v>
      </c>
    </row>
    <row r="40" spans="1:3" x14ac:dyDescent="0.25">
      <c r="A40"/>
      <c r="B40" t="s">
        <v>74</v>
      </c>
      <c r="C40">
        <v>1</v>
      </c>
    </row>
    <row r="41" spans="1:3" x14ac:dyDescent="0.25">
      <c r="A41"/>
      <c r="B41" t="s">
        <v>212</v>
      </c>
      <c r="C41">
        <v>1</v>
      </c>
    </row>
    <row r="42" spans="1:3" x14ac:dyDescent="0.25">
      <c r="A42"/>
      <c r="B42" t="s">
        <v>22</v>
      </c>
      <c r="C42">
        <v>1</v>
      </c>
    </row>
    <row r="43" spans="1:3" x14ac:dyDescent="0.25">
      <c r="A43"/>
      <c r="B43" t="s">
        <v>92</v>
      </c>
      <c r="C43">
        <v>1</v>
      </c>
    </row>
    <row r="44" spans="1:3" x14ac:dyDescent="0.25">
      <c r="A44"/>
      <c r="B44" t="s">
        <v>60</v>
      </c>
      <c r="C44">
        <v>1</v>
      </c>
    </row>
    <row r="45" spans="1:3" x14ac:dyDescent="0.25">
      <c r="A45"/>
      <c r="B45" t="s">
        <v>73</v>
      </c>
      <c r="C45">
        <v>1</v>
      </c>
    </row>
    <row r="46" spans="1:3" x14ac:dyDescent="0.25">
      <c r="A46"/>
      <c r="B46" t="s">
        <v>81</v>
      </c>
      <c r="C46">
        <v>1</v>
      </c>
    </row>
    <row r="47" spans="1:3" x14ac:dyDescent="0.25">
      <c r="A47"/>
      <c r="B47" t="s">
        <v>66</v>
      </c>
      <c r="C47">
        <v>1</v>
      </c>
    </row>
    <row r="48" spans="1:3" x14ac:dyDescent="0.25">
      <c r="A48"/>
      <c r="B48" t="s">
        <v>189</v>
      </c>
      <c r="C48">
        <v>1</v>
      </c>
    </row>
    <row r="49" spans="1:3" x14ac:dyDescent="0.25">
      <c r="A49"/>
      <c r="B49" t="s">
        <v>82</v>
      </c>
      <c r="C49">
        <v>1</v>
      </c>
    </row>
    <row r="50" spans="1:3" x14ac:dyDescent="0.25">
      <c r="A50"/>
      <c r="B50" t="s">
        <v>84</v>
      </c>
      <c r="C50">
        <v>1</v>
      </c>
    </row>
    <row r="51" spans="1:3" x14ac:dyDescent="0.25">
      <c r="A51"/>
      <c r="B51" t="s">
        <v>136</v>
      </c>
      <c r="C51">
        <v>1</v>
      </c>
    </row>
    <row r="52" spans="1:3" x14ac:dyDescent="0.25">
      <c r="A52"/>
      <c r="B52" t="s">
        <v>216</v>
      </c>
      <c r="C52">
        <v>1</v>
      </c>
    </row>
    <row r="53" spans="1:3" x14ac:dyDescent="0.25">
      <c r="A53"/>
      <c r="B53" t="s">
        <v>59</v>
      </c>
      <c r="C53">
        <v>1</v>
      </c>
    </row>
    <row r="54" spans="1:3" x14ac:dyDescent="0.25">
      <c r="A54"/>
      <c r="B54" t="s">
        <v>62</v>
      </c>
      <c r="C54">
        <v>1</v>
      </c>
    </row>
    <row r="55" spans="1:3" x14ac:dyDescent="0.25">
      <c r="A55"/>
      <c r="B55" t="s">
        <v>58</v>
      </c>
      <c r="C55">
        <v>1</v>
      </c>
    </row>
    <row r="56" spans="1:3" x14ac:dyDescent="0.25">
      <c r="A56"/>
      <c r="B56" t="s">
        <v>138</v>
      </c>
      <c r="C56">
        <v>1</v>
      </c>
    </row>
    <row r="57" spans="1:3" x14ac:dyDescent="0.25">
      <c r="A57"/>
      <c r="B57" t="s">
        <v>214</v>
      </c>
      <c r="C57">
        <v>1</v>
      </c>
    </row>
    <row r="58" spans="1:3" x14ac:dyDescent="0.25">
      <c r="A58"/>
      <c r="B58" t="s">
        <v>36</v>
      </c>
      <c r="C58">
        <v>1</v>
      </c>
    </row>
    <row r="59" spans="1:3" x14ac:dyDescent="0.25">
      <c r="A59"/>
      <c r="B59" t="s">
        <v>91</v>
      </c>
      <c r="C59">
        <v>1</v>
      </c>
    </row>
    <row r="60" spans="1:3" x14ac:dyDescent="0.25">
      <c r="A60"/>
      <c r="B60" t="s">
        <v>120</v>
      </c>
      <c r="C60">
        <v>1</v>
      </c>
    </row>
    <row r="61" spans="1:3" x14ac:dyDescent="0.25">
      <c r="A61"/>
      <c r="B61" t="s">
        <v>171</v>
      </c>
      <c r="C61">
        <v>1</v>
      </c>
    </row>
    <row r="62" spans="1:3" x14ac:dyDescent="0.25">
      <c r="A62"/>
      <c r="B62" t="s">
        <v>175</v>
      </c>
      <c r="C62">
        <v>1</v>
      </c>
    </row>
    <row r="63" spans="1:3" x14ac:dyDescent="0.25">
      <c r="A63"/>
      <c r="B63" t="s">
        <v>75</v>
      </c>
      <c r="C63">
        <v>1</v>
      </c>
    </row>
    <row r="64" spans="1:3" x14ac:dyDescent="0.25">
      <c r="A64"/>
      <c r="B64" t="s">
        <v>145</v>
      </c>
      <c r="C64">
        <v>1</v>
      </c>
    </row>
    <row r="65" spans="1:3" x14ac:dyDescent="0.25">
      <c r="A65"/>
      <c r="B65" t="s">
        <v>121</v>
      </c>
      <c r="C65">
        <v>1</v>
      </c>
    </row>
    <row r="66" spans="1:3" x14ac:dyDescent="0.25">
      <c r="A66"/>
      <c r="B66" t="s">
        <v>195</v>
      </c>
      <c r="C66">
        <v>1</v>
      </c>
    </row>
    <row r="67" spans="1:3" x14ac:dyDescent="0.25">
      <c r="A67"/>
      <c r="B67" t="s">
        <v>122</v>
      </c>
      <c r="C67">
        <v>1</v>
      </c>
    </row>
    <row r="68" spans="1:3" x14ac:dyDescent="0.25">
      <c r="A68"/>
      <c r="B68" t="s">
        <v>64</v>
      </c>
      <c r="C68">
        <v>1</v>
      </c>
    </row>
    <row r="69" spans="1:3" x14ac:dyDescent="0.25">
      <c r="A69"/>
      <c r="B69" t="s">
        <v>217</v>
      </c>
      <c r="C69">
        <v>1</v>
      </c>
    </row>
    <row r="70" spans="1:3" x14ac:dyDescent="0.25">
      <c r="A70"/>
      <c r="B70" t="s">
        <v>68</v>
      </c>
      <c r="C70">
        <v>1</v>
      </c>
    </row>
    <row r="71" spans="1:3" x14ac:dyDescent="0.25">
      <c r="A71"/>
      <c r="B71" t="s">
        <v>71</v>
      </c>
      <c r="C71">
        <v>1</v>
      </c>
    </row>
    <row r="72" spans="1:3" x14ac:dyDescent="0.25">
      <c r="A72"/>
      <c r="B72" t="s">
        <v>197</v>
      </c>
      <c r="C72">
        <v>1</v>
      </c>
    </row>
    <row r="73" spans="1:3" x14ac:dyDescent="0.25">
      <c r="A73"/>
      <c r="B73" t="s">
        <v>200</v>
      </c>
      <c r="C73">
        <v>1</v>
      </c>
    </row>
    <row r="74" spans="1:3" x14ac:dyDescent="0.25">
      <c r="A74"/>
      <c r="B74" t="s">
        <v>67</v>
      </c>
      <c r="C74">
        <v>1</v>
      </c>
    </row>
    <row r="75" spans="1:3" x14ac:dyDescent="0.25">
      <c r="A75"/>
      <c r="B75" t="s">
        <v>176</v>
      </c>
      <c r="C75">
        <v>1</v>
      </c>
    </row>
    <row r="76" spans="1:3" x14ac:dyDescent="0.25">
      <c r="A76"/>
      <c r="B76" t="s">
        <v>46</v>
      </c>
      <c r="C76">
        <v>1</v>
      </c>
    </row>
    <row r="77" spans="1:3" x14ac:dyDescent="0.25">
      <c r="A77"/>
      <c r="B77" t="s">
        <v>153</v>
      </c>
      <c r="C77">
        <v>1</v>
      </c>
    </row>
    <row r="78" spans="1:3" x14ac:dyDescent="0.25">
      <c r="A78"/>
      <c r="B78" t="s">
        <v>154</v>
      </c>
      <c r="C78">
        <v>1</v>
      </c>
    </row>
    <row r="79" spans="1:3" x14ac:dyDescent="0.25">
      <c r="A79"/>
      <c r="B79" t="s">
        <v>69</v>
      </c>
      <c r="C79">
        <v>1</v>
      </c>
    </row>
    <row r="80" spans="1:3" x14ac:dyDescent="0.25">
      <c r="A80"/>
      <c r="B80" t="s">
        <v>65</v>
      </c>
      <c r="C80">
        <v>1</v>
      </c>
    </row>
    <row r="81" spans="1:3" x14ac:dyDescent="0.25">
      <c r="A81"/>
      <c r="B81" t="s">
        <v>86</v>
      </c>
      <c r="C81">
        <v>1</v>
      </c>
    </row>
    <row r="82" spans="1:3" x14ac:dyDescent="0.25">
      <c r="A82"/>
      <c r="B82" t="s">
        <v>51</v>
      </c>
      <c r="C82">
        <v>1</v>
      </c>
    </row>
    <row r="83" spans="1:3" x14ac:dyDescent="0.25">
      <c r="A83"/>
      <c r="B83" t="s">
        <v>204</v>
      </c>
      <c r="C83">
        <v>1</v>
      </c>
    </row>
    <row r="84" spans="1:3" x14ac:dyDescent="0.25">
      <c r="A84"/>
      <c r="B84" t="s">
        <v>117</v>
      </c>
      <c r="C84">
        <v>1</v>
      </c>
    </row>
    <row r="85" spans="1:3" x14ac:dyDescent="0.25">
      <c r="A85"/>
      <c r="B85" t="s">
        <v>87</v>
      </c>
      <c r="C85">
        <v>1</v>
      </c>
    </row>
    <row r="86" spans="1:3" x14ac:dyDescent="0.25">
      <c r="A86"/>
      <c r="B86" t="s">
        <v>52</v>
      </c>
      <c r="C86">
        <v>1</v>
      </c>
    </row>
    <row r="87" spans="1:3" x14ac:dyDescent="0.25">
      <c r="A87"/>
      <c r="B87" t="s">
        <v>88</v>
      </c>
      <c r="C87">
        <v>1</v>
      </c>
    </row>
    <row r="88" spans="1:3" x14ac:dyDescent="0.25">
      <c r="A88"/>
      <c r="B88" t="s">
        <v>205</v>
      </c>
      <c r="C88">
        <v>1</v>
      </c>
    </row>
    <row r="89" spans="1:3" x14ac:dyDescent="0.25">
      <c r="A89"/>
      <c r="B89" t="s">
        <v>206</v>
      </c>
      <c r="C89">
        <v>1</v>
      </c>
    </row>
    <row r="90" spans="1:3" x14ac:dyDescent="0.25">
      <c r="A90"/>
      <c r="B90" t="s">
        <v>63</v>
      </c>
      <c r="C90">
        <v>1</v>
      </c>
    </row>
    <row r="91" spans="1:3" x14ac:dyDescent="0.25">
      <c r="A91"/>
      <c r="B91" t="s">
        <v>116</v>
      </c>
      <c r="C91">
        <v>1</v>
      </c>
    </row>
    <row r="92" spans="1:3" x14ac:dyDescent="0.25">
      <c r="A92"/>
      <c r="B92" t="s">
        <v>157</v>
      </c>
      <c r="C92">
        <v>1</v>
      </c>
    </row>
    <row r="93" spans="1:3" x14ac:dyDescent="0.25">
      <c r="A93"/>
      <c r="B93" t="s">
        <v>207</v>
      </c>
      <c r="C93">
        <v>1</v>
      </c>
    </row>
    <row r="94" spans="1:3" x14ac:dyDescent="0.25">
      <c r="A94"/>
      <c r="B94" t="s">
        <v>54</v>
      </c>
      <c r="C94">
        <v>1</v>
      </c>
    </row>
    <row r="95" spans="1:3" x14ac:dyDescent="0.25">
      <c r="A95"/>
      <c r="B95" t="s">
        <v>90</v>
      </c>
      <c r="C95">
        <v>1</v>
      </c>
    </row>
    <row r="96" spans="1:3" x14ac:dyDescent="0.25">
      <c r="A96"/>
      <c r="B96" t="s">
        <v>158</v>
      </c>
      <c r="C96">
        <v>1</v>
      </c>
    </row>
    <row r="97" spans="1:3" x14ac:dyDescent="0.25">
      <c r="A97"/>
      <c r="B97" t="s">
        <v>70</v>
      </c>
      <c r="C97">
        <v>1</v>
      </c>
    </row>
    <row r="98" spans="1:3" x14ac:dyDescent="0.25">
      <c r="A98"/>
      <c r="B98" t="s">
        <v>164</v>
      </c>
      <c r="C98">
        <v>1</v>
      </c>
    </row>
    <row r="99" spans="1:3" x14ac:dyDescent="0.25">
      <c r="A99"/>
      <c r="B99" t="s">
        <v>166</v>
      </c>
      <c r="C99">
        <v>1</v>
      </c>
    </row>
    <row r="100" spans="1:3" x14ac:dyDescent="0.25">
      <c r="A100"/>
      <c r="B100" t="s">
        <v>174</v>
      </c>
      <c r="C100">
        <v>1</v>
      </c>
    </row>
    <row r="101" spans="1:3" x14ac:dyDescent="0.25">
      <c r="A101"/>
      <c r="B101" t="s">
        <v>169</v>
      </c>
      <c r="C101">
        <v>1</v>
      </c>
    </row>
    <row r="102" spans="1:3" x14ac:dyDescent="0.25">
      <c r="A102"/>
      <c r="B102" t="s">
        <v>108</v>
      </c>
      <c r="C102">
        <v>1</v>
      </c>
    </row>
    <row r="103" spans="1:3" x14ac:dyDescent="0.25">
      <c r="A103" t="s">
        <v>663</v>
      </c>
      <c r="B103"/>
      <c r="C103">
        <v>72</v>
      </c>
    </row>
    <row r="104" spans="1:3" x14ac:dyDescent="0.25">
      <c r="A104" t="s">
        <v>650</v>
      </c>
      <c r="B104" t="s">
        <v>181</v>
      </c>
      <c r="C104">
        <v>1</v>
      </c>
    </row>
    <row r="105" spans="1:3" x14ac:dyDescent="0.25">
      <c r="A105"/>
      <c r="B105" t="s">
        <v>7</v>
      </c>
      <c r="C105">
        <v>1</v>
      </c>
    </row>
    <row r="106" spans="1:3" x14ac:dyDescent="0.25">
      <c r="A106"/>
      <c r="B106" t="s">
        <v>182</v>
      </c>
      <c r="C106">
        <v>1</v>
      </c>
    </row>
    <row r="107" spans="1:3" x14ac:dyDescent="0.25">
      <c r="A107"/>
      <c r="B107" t="s">
        <v>11</v>
      </c>
      <c r="C107">
        <v>1</v>
      </c>
    </row>
    <row r="108" spans="1:3" x14ac:dyDescent="0.25">
      <c r="A108"/>
      <c r="B108" t="s">
        <v>125</v>
      </c>
      <c r="C108">
        <v>1</v>
      </c>
    </row>
    <row r="109" spans="1:3" x14ac:dyDescent="0.25">
      <c r="A109"/>
      <c r="B109" t="s">
        <v>12</v>
      </c>
      <c r="C109">
        <v>1</v>
      </c>
    </row>
    <row r="110" spans="1:3" x14ac:dyDescent="0.25">
      <c r="A110"/>
      <c r="B110" t="s">
        <v>112</v>
      </c>
      <c r="C110">
        <v>1</v>
      </c>
    </row>
    <row r="111" spans="1:3" x14ac:dyDescent="0.25">
      <c r="A111"/>
      <c r="B111" t="s">
        <v>183</v>
      </c>
      <c r="C111">
        <v>1</v>
      </c>
    </row>
    <row r="112" spans="1:3" x14ac:dyDescent="0.25">
      <c r="A112"/>
      <c r="B112" t="s">
        <v>127</v>
      </c>
      <c r="C112">
        <v>1</v>
      </c>
    </row>
    <row r="113" spans="1:3" x14ac:dyDescent="0.25">
      <c r="A113"/>
      <c r="B113" t="s">
        <v>13</v>
      </c>
      <c r="C113">
        <v>1</v>
      </c>
    </row>
    <row r="114" spans="1:3" x14ac:dyDescent="0.25">
      <c r="A114"/>
      <c r="B114" t="s">
        <v>14</v>
      </c>
      <c r="C114">
        <v>1</v>
      </c>
    </row>
    <row r="115" spans="1:3" x14ac:dyDescent="0.25">
      <c r="A115"/>
      <c r="B115" t="s">
        <v>188</v>
      </c>
      <c r="C115">
        <v>1</v>
      </c>
    </row>
    <row r="116" spans="1:3" x14ac:dyDescent="0.25">
      <c r="A116"/>
      <c r="B116" t="s">
        <v>16</v>
      </c>
      <c r="C116">
        <v>1</v>
      </c>
    </row>
    <row r="117" spans="1:3" x14ac:dyDescent="0.25">
      <c r="A117"/>
      <c r="B117" t="s">
        <v>119</v>
      </c>
      <c r="C117">
        <v>1</v>
      </c>
    </row>
    <row r="118" spans="1:3" x14ac:dyDescent="0.25">
      <c r="A118"/>
      <c r="B118" t="s">
        <v>21</v>
      </c>
      <c r="C118">
        <v>1</v>
      </c>
    </row>
    <row r="119" spans="1:3" x14ac:dyDescent="0.25">
      <c r="A119"/>
      <c r="B119" t="s">
        <v>23</v>
      </c>
      <c r="C119">
        <v>1</v>
      </c>
    </row>
    <row r="120" spans="1:3" x14ac:dyDescent="0.25">
      <c r="A120"/>
      <c r="B120" t="s">
        <v>27</v>
      </c>
      <c r="C120">
        <v>1</v>
      </c>
    </row>
    <row r="121" spans="1:3" x14ac:dyDescent="0.25">
      <c r="A121"/>
      <c r="B121" t="s">
        <v>190</v>
      </c>
      <c r="C121">
        <v>1</v>
      </c>
    </row>
    <row r="122" spans="1:3" x14ac:dyDescent="0.25">
      <c r="A122"/>
      <c r="B122" t="s">
        <v>215</v>
      </c>
      <c r="C122">
        <v>1</v>
      </c>
    </row>
    <row r="123" spans="1:3" x14ac:dyDescent="0.25">
      <c r="A123"/>
      <c r="B123" t="s">
        <v>191</v>
      </c>
      <c r="C123">
        <v>1</v>
      </c>
    </row>
    <row r="124" spans="1:3" x14ac:dyDescent="0.25">
      <c r="A124"/>
      <c r="B124" t="s">
        <v>30</v>
      </c>
      <c r="C124">
        <v>1</v>
      </c>
    </row>
    <row r="125" spans="1:3" x14ac:dyDescent="0.25">
      <c r="A125"/>
      <c r="B125" t="s">
        <v>31</v>
      </c>
      <c r="C125">
        <v>1</v>
      </c>
    </row>
    <row r="126" spans="1:3" x14ac:dyDescent="0.25">
      <c r="A126"/>
      <c r="B126" t="s">
        <v>33</v>
      </c>
      <c r="C126">
        <v>1</v>
      </c>
    </row>
    <row r="127" spans="1:3" x14ac:dyDescent="0.25">
      <c r="A127"/>
      <c r="B127" t="s">
        <v>192</v>
      </c>
      <c r="C127">
        <v>1</v>
      </c>
    </row>
    <row r="128" spans="1:3" x14ac:dyDescent="0.25">
      <c r="A128"/>
      <c r="B128" t="s">
        <v>102</v>
      </c>
      <c r="C128">
        <v>1</v>
      </c>
    </row>
    <row r="129" spans="1:3" x14ac:dyDescent="0.25">
      <c r="A129"/>
      <c r="B129" t="s">
        <v>193</v>
      </c>
      <c r="C129">
        <v>1</v>
      </c>
    </row>
    <row r="130" spans="1:3" x14ac:dyDescent="0.25">
      <c r="A130"/>
      <c r="B130" t="s">
        <v>35</v>
      </c>
      <c r="C130">
        <v>1</v>
      </c>
    </row>
    <row r="131" spans="1:3" x14ac:dyDescent="0.25">
      <c r="A131"/>
      <c r="B131" t="s">
        <v>72</v>
      </c>
      <c r="C131">
        <v>1</v>
      </c>
    </row>
    <row r="132" spans="1:3" x14ac:dyDescent="0.25">
      <c r="A132"/>
      <c r="B132" t="s">
        <v>173</v>
      </c>
      <c r="C132">
        <v>1</v>
      </c>
    </row>
    <row r="133" spans="1:3" x14ac:dyDescent="0.25">
      <c r="A133"/>
      <c r="B133" t="s">
        <v>141</v>
      </c>
      <c r="C133">
        <v>1</v>
      </c>
    </row>
    <row r="134" spans="1:3" x14ac:dyDescent="0.25">
      <c r="A134"/>
      <c r="B134" t="s">
        <v>142</v>
      </c>
      <c r="C134">
        <v>1</v>
      </c>
    </row>
    <row r="135" spans="1:3" x14ac:dyDescent="0.25">
      <c r="A135"/>
      <c r="B135" t="s">
        <v>143</v>
      </c>
      <c r="C135">
        <v>1</v>
      </c>
    </row>
    <row r="136" spans="1:3" x14ac:dyDescent="0.25">
      <c r="A136"/>
      <c r="B136" t="s">
        <v>107</v>
      </c>
      <c r="C136">
        <v>1</v>
      </c>
    </row>
    <row r="137" spans="1:3" x14ac:dyDescent="0.25">
      <c r="A137"/>
      <c r="B137" t="s">
        <v>38</v>
      </c>
      <c r="C137">
        <v>1</v>
      </c>
    </row>
    <row r="138" spans="1:3" x14ac:dyDescent="0.25">
      <c r="A138"/>
      <c r="B138" t="s">
        <v>194</v>
      </c>
      <c r="C138">
        <v>1</v>
      </c>
    </row>
    <row r="139" spans="1:3" x14ac:dyDescent="0.25">
      <c r="A139"/>
      <c r="B139" t="s">
        <v>144</v>
      </c>
      <c r="C139">
        <v>1</v>
      </c>
    </row>
    <row r="140" spans="1:3" x14ac:dyDescent="0.25">
      <c r="A140"/>
      <c r="B140" t="s">
        <v>146</v>
      </c>
      <c r="C140">
        <v>1</v>
      </c>
    </row>
    <row r="141" spans="1:3" x14ac:dyDescent="0.25">
      <c r="A141"/>
      <c r="B141" t="s">
        <v>147</v>
      </c>
      <c r="C141">
        <v>1</v>
      </c>
    </row>
    <row r="142" spans="1:3" x14ac:dyDescent="0.25">
      <c r="A142"/>
      <c r="B142" t="s">
        <v>41</v>
      </c>
      <c r="C142">
        <v>1</v>
      </c>
    </row>
    <row r="143" spans="1:3" x14ac:dyDescent="0.25">
      <c r="A143"/>
      <c r="B143" t="s">
        <v>43</v>
      </c>
      <c r="C143">
        <v>1</v>
      </c>
    </row>
    <row r="144" spans="1:3" x14ac:dyDescent="0.25">
      <c r="A144"/>
      <c r="B144" t="s">
        <v>44</v>
      </c>
      <c r="C144">
        <v>1</v>
      </c>
    </row>
    <row r="145" spans="1:3" x14ac:dyDescent="0.25">
      <c r="A145"/>
      <c r="B145" t="s">
        <v>149</v>
      </c>
      <c r="C145">
        <v>1</v>
      </c>
    </row>
    <row r="146" spans="1:3" x14ac:dyDescent="0.25">
      <c r="A146"/>
      <c r="B146" t="s">
        <v>150</v>
      </c>
      <c r="C146">
        <v>1</v>
      </c>
    </row>
    <row r="147" spans="1:3" x14ac:dyDescent="0.25">
      <c r="A147"/>
      <c r="B147" t="s">
        <v>151</v>
      </c>
      <c r="C147">
        <v>1</v>
      </c>
    </row>
    <row r="148" spans="1:3" x14ac:dyDescent="0.25">
      <c r="A148"/>
      <c r="B148" t="s">
        <v>152</v>
      </c>
      <c r="C148">
        <v>1</v>
      </c>
    </row>
    <row r="149" spans="1:3" x14ac:dyDescent="0.25">
      <c r="A149"/>
      <c r="B149" t="s">
        <v>110</v>
      </c>
      <c r="C149">
        <v>1</v>
      </c>
    </row>
    <row r="150" spans="1:3" x14ac:dyDescent="0.25">
      <c r="A150"/>
      <c r="B150" t="s">
        <v>111</v>
      </c>
      <c r="C150">
        <v>1</v>
      </c>
    </row>
    <row r="151" spans="1:3" x14ac:dyDescent="0.25">
      <c r="A151"/>
      <c r="B151" t="s">
        <v>155</v>
      </c>
      <c r="C151">
        <v>1</v>
      </c>
    </row>
    <row r="152" spans="1:3" x14ac:dyDescent="0.25">
      <c r="A152"/>
      <c r="B152" t="s">
        <v>104</v>
      </c>
      <c r="C152">
        <v>1</v>
      </c>
    </row>
    <row r="153" spans="1:3" x14ac:dyDescent="0.25">
      <c r="A153"/>
      <c r="B153" t="s">
        <v>156</v>
      </c>
      <c r="C153">
        <v>1</v>
      </c>
    </row>
    <row r="154" spans="1:3" x14ac:dyDescent="0.25">
      <c r="A154"/>
      <c r="B154" t="s">
        <v>113</v>
      </c>
      <c r="C154">
        <v>1</v>
      </c>
    </row>
    <row r="155" spans="1:3" x14ac:dyDescent="0.25">
      <c r="A155"/>
      <c r="B155" t="s">
        <v>105</v>
      </c>
      <c r="C155">
        <v>1</v>
      </c>
    </row>
    <row r="156" spans="1:3" x14ac:dyDescent="0.25">
      <c r="A156"/>
      <c r="B156" t="s">
        <v>53</v>
      </c>
      <c r="C156">
        <v>1</v>
      </c>
    </row>
    <row r="157" spans="1:3" x14ac:dyDescent="0.25">
      <c r="A157"/>
      <c r="B157" t="s">
        <v>89</v>
      </c>
      <c r="C157">
        <v>1</v>
      </c>
    </row>
    <row r="158" spans="1:3" x14ac:dyDescent="0.25">
      <c r="A158"/>
      <c r="B158" t="s">
        <v>114</v>
      </c>
      <c r="C158">
        <v>1</v>
      </c>
    </row>
    <row r="159" spans="1:3" x14ac:dyDescent="0.25">
      <c r="A159"/>
      <c r="B159" t="s">
        <v>161</v>
      </c>
      <c r="C159">
        <v>1</v>
      </c>
    </row>
    <row r="160" spans="1:3" x14ac:dyDescent="0.25">
      <c r="A160"/>
      <c r="B160" t="s">
        <v>162</v>
      </c>
      <c r="C160">
        <v>1</v>
      </c>
    </row>
    <row r="161" spans="1:3" x14ac:dyDescent="0.25">
      <c r="A161"/>
      <c r="B161" t="s">
        <v>165</v>
      </c>
      <c r="C161">
        <v>1</v>
      </c>
    </row>
    <row r="162" spans="1:3" x14ac:dyDescent="0.25">
      <c r="A162"/>
      <c r="B162" t="s">
        <v>56</v>
      </c>
      <c r="C162">
        <v>1</v>
      </c>
    </row>
    <row r="163" spans="1:3" x14ac:dyDescent="0.25">
      <c r="A163"/>
      <c r="B163" t="s">
        <v>210</v>
      </c>
      <c r="C163">
        <v>1</v>
      </c>
    </row>
    <row r="164" spans="1:3" x14ac:dyDescent="0.25">
      <c r="A164"/>
      <c r="B164" t="s">
        <v>57</v>
      </c>
      <c r="C164">
        <v>1</v>
      </c>
    </row>
    <row r="165" spans="1:3" x14ac:dyDescent="0.25">
      <c r="A165"/>
      <c r="B165" t="s">
        <v>170</v>
      </c>
      <c r="C165">
        <v>1</v>
      </c>
    </row>
    <row r="166" spans="1:3" x14ac:dyDescent="0.25">
      <c r="A166" t="s">
        <v>664</v>
      </c>
      <c r="B166"/>
      <c r="C166">
        <v>62</v>
      </c>
    </row>
    <row r="167" spans="1:3" x14ac:dyDescent="0.25">
      <c r="A167" t="s">
        <v>652</v>
      </c>
      <c r="B167" t="s">
        <v>5</v>
      </c>
      <c r="C167">
        <v>1</v>
      </c>
    </row>
    <row r="168" spans="1:3" x14ac:dyDescent="0.25">
      <c r="A168"/>
      <c r="B168" t="s">
        <v>95</v>
      </c>
      <c r="C168">
        <v>1</v>
      </c>
    </row>
    <row r="169" spans="1:3" x14ac:dyDescent="0.25">
      <c r="A169"/>
      <c r="B169" t="s">
        <v>185</v>
      </c>
      <c r="C169">
        <v>1</v>
      </c>
    </row>
    <row r="170" spans="1:3" x14ac:dyDescent="0.25">
      <c r="A170"/>
      <c r="B170" t="s">
        <v>115</v>
      </c>
      <c r="C170">
        <v>1</v>
      </c>
    </row>
    <row r="171" spans="1:3" x14ac:dyDescent="0.25">
      <c r="A171"/>
      <c r="B171" t="s">
        <v>18</v>
      </c>
      <c r="C171">
        <v>1</v>
      </c>
    </row>
    <row r="172" spans="1:3" x14ac:dyDescent="0.25">
      <c r="A172"/>
      <c r="B172" t="s">
        <v>19</v>
      </c>
      <c r="C172">
        <v>1</v>
      </c>
    </row>
    <row r="173" spans="1:3" x14ac:dyDescent="0.25">
      <c r="A173"/>
      <c r="B173" t="s">
        <v>79</v>
      </c>
      <c r="C173">
        <v>1</v>
      </c>
    </row>
    <row r="174" spans="1:3" x14ac:dyDescent="0.25">
      <c r="A174"/>
      <c r="B174" t="s">
        <v>133</v>
      </c>
      <c r="C174">
        <v>1</v>
      </c>
    </row>
    <row r="175" spans="1:3" x14ac:dyDescent="0.25">
      <c r="A175"/>
      <c r="B175" t="s">
        <v>134</v>
      </c>
      <c r="C175">
        <v>1</v>
      </c>
    </row>
    <row r="176" spans="1:3" x14ac:dyDescent="0.25">
      <c r="A176"/>
      <c r="B176" t="s">
        <v>24</v>
      </c>
      <c r="C176">
        <v>1</v>
      </c>
    </row>
    <row r="177" spans="1:3" x14ac:dyDescent="0.25">
      <c r="A177"/>
      <c r="B177" t="s">
        <v>137</v>
      </c>
      <c r="C177">
        <v>1</v>
      </c>
    </row>
    <row r="178" spans="1:3" x14ac:dyDescent="0.25">
      <c r="A178"/>
      <c r="B178" t="s">
        <v>85</v>
      </c>
      <c r="C178">
        <v>1</v>
      </c>
    </row>
    <row r="179" spans="1:3" x14ac:dyDescent="0.25">
      <c r="A179"/>
      <c r="B179" t="s">
        <v>100</v>
      </c>
      <c r="C179">
        <v>1</v>
      </c>
    </row>
    <row r="180" spans="1:3" x14ac:dyDescent="0.25">
      <c r="A180"/>
      <c r="B180" t="s">
        <v>101</v>
      </c>
      <c r="C180">
        <v>1</v>
      </c>
    </row>
    <row r="181" spans="1:3" x14ac:dyDescent="0.25">
      <c r="A181"/>
      <c r="B181" t="s">
        <v>39</v>
      </c>
      <c r="C181">
        <v>1</v>
      </c>
    </row>
    <row r="182" spans="1:3" x14ac:dyDescent="0.25">
      <c r="A182"/>
      <c r="B182" t="s">
        <v>148</v>
      </c>
      <c r="C182">
        <v>1</v>
      </c>
    </row>
    <row r="183" spans="1:3" x14ac:dyDescent="0.25">
      <c r="A183"/>
      <c r="B183" t="s">
        <v>42</v>
      </c>
      <c r="C183">
        <v>1</v>
      </c>
    </row>
    <row r="184" spans="1:3" x14ac:dyDescent="0.25">
      <c r="A184"/>
      <c r="B184" t="s">
        <v>198</v>
      </c>
      <c r="C184">
        <v>1</v>
      </c>
    </row>
    <row r="185" spans="1:3" x14ac:dyDescent="0.25">
      <c r="A185"/>
      <c r="B185" t="s">
        <v>47</v>
      </c>
      <c r="C185">
        <v>1</v>
      </c>
    </row>
    <row r="186" spans="1:3" x14ac:dyDescent="0.25">
      <c r="A186"/>
      <c r="B186" t="s">
        <v>49</v>
      </c>
      <c r="C186">
        <v>1</v>
      </c>
    </row>
    <row r="187" spans="1:3" x14ac:dyDescent="0.25">
      <c r="A187"/>
      <c r="B187" t="s">
        <v>50</v>
      </c>
      <c r="C187">
        <v>1</v>
      </c>
    </row>
    <row r="188" spans="1:3" x14ac:dyDescent="0.25">
      <c r="A188"/>
      <c r="B188" t="s">
        <v>160</v>
      </c>
      <c r="C188">
        <v>1</v>
      </c>
    </row>
    <row r="189" spans="1:3" x14ac:dyDescent="0.25">
      <c r="A189"/>
      <c r="B189" t="s">
        <v>159</v>
      </c>
      <c r="C189">
        <v>1</v>
      </c>
    </row>
    <row r="190" spans="1:3" x14ac:dyDescent="0.25">
      <c r="A190"/>
      <c r="B190" t="s">
        <v>163</v>
      </c>
      <c r="C190">
        <v>1</v>
      </c>
    </row>
    <row r="191" spans="1:3" x14ac:dyDescent="0.25">
      <c r="A191"/>
      <c r="B191" t="s">
        <v>55</v>
      </c>
      <c r="C191">
        <v>1</v>
      </c>
    </row>
    <row r="192" spans="1:3" x14ac:dyDescent="0.25">
      <c r="A192"/>
      <c r="B192" t="s">
        <v>167</v>
      </c>
      <c r="C192">
        <v>1</v>
      </c>
    </row>
    <row r="193" spans="1:3" x14ac:dyDescent="0.25">
      <c r="A193"/>
      <c r="B193" t="s">
        <v>168</v>
      </c>
      <c r="C193">
        <v>1</v>
      </c>
    </row>
    <row r="194" spans="1:3" x14ac:dyDescent="0.25">
      <c r="A194" t="s">
        <v>661</v>
      </c>
      <c r="B194"/>
      <c r="C194">
        <v>27</v>
      </c>
    </row>
    <row r="195" spans="1:3" x14ac:dyDescent="0.25">
      <c r="A195" t="s">
        <v>654</v>
      </c>
      <c r="B195" t="s">
        <v>186</v>
      </c>
      <c r="C195">
        <v>1</v>
      </c>
    </row>
    <row r="196" spans="1:3" x14ac:dyDescent="0.25">
      <c r="A196"/>
      <c r="B196" t="s">
        <v>97</v>
      </c>
      <c r="C196">
        <v>1</v>
      </c>
    </row>
    <row r="197" spans="1:3" x14ac:dyDescent="0.25">
      <c r="A197"/>
      <c r="B197" t="s">
        <v>135</v>
      </c>
      <c r="C197">
        <v>1</v>
      </c>
    </row>
    <row r="198" spans="1:3" x14ac:dyDescent="0.25">
      <c r="A198"/>
      <c r="B198" t="s">
        <v>98</v>
      </c>
      <c r="C198">
        <v>1</v>
      </c>
    </row>
    <row r="199" spans="1:3" x14ac:dyDescent="0.25">
      <c r="A199"/>
      <c r="B199" t="s">
        <v>29</v>
      </c>
      <c r="C199">
        <v>1</v>
      </c>
    </row>
    <row r="200" spans="1:3" x14ac:dyDescent="0.25">
      <c r="A200"/>
      <c r="B200" t="s">
        <v>37</v>
      </c>
      <c r="C200">
        <v>1</v>
      </c>
    </row>
    <row r="201" spans="1:3" x14ac:dyDescent="0.25">
      <c r="A201"/>
      <c r="B201" t="s">
        <v>213</v>
      </c>
      <c r="C201">
        <v>1</v>
      </c>
    </row>
    <row r="202" spans="1:3" x14ac:dyDescent="0.25">
      <c r="A202"/>
      <c r="B202" t="s">
        <v>172</v>
      </c>
      <c r="C202">
        <v>1</v>
      </c>
    </row>
    <row r="203" spans="1:3" x14ac:dyDescent="0.25">
      <c r="A203"/>
      <c r="B203" t="s">
        <v>40</v>
      </c>
      <c r="C203">
        <v>1</v>
      </c>
    </row>
    <row r="204" spans="1:3" x14ac:dyDescent="0.25">
      <c r="A204"/>
      <c r="B204" t="s">
        <v>103</v>
      </c>
      <c r="C204">
        <v>1</v>
      </c>
    </row>
    <row r="205" spans="1:3" x14ac:dyDescent="0.25">
      <c r="A205"/>
      <c r="B205" t="s">
        <v>196</v>
      </c>
      <c r="C205">
        <v>1</v>
      </c>
    </row>
    <row r="206" spans="1:3" x14ac:dyDescent="0.25">
      <c r="A206"/>
      <c r="B206" t="s">
        <v>199</v>
      </c>
      <c r="C206">
        <v>1</v>
      </c>
    </row>
    <row r="207" spans="1:3" x14ac:dyDescent="0.25">
      <c r="A207"/>
      <c r="B207" t="s">
        <v>45</v>
      </c>
      <c r="C207">
        <v>1</v>
      </c>
    </row>
    <row r="208" spans="1:3" x14ac:dyDescent="0.25">
      <c r="A208"/>
      <c r="B208" t="s">
        <v>201</v>
      </c>
      <c r="C208">
        <v>1</v>
      </c>
    </row>
    <row r="209" spans="1:3" x14ac:dyDescent="0.25">
      <c r="A209"/>
      <c r="B209" t="s">
        <v>203</v>
      </c>
      <c r="C209">
        <v>1</v>
      </c>
    </row>
    <row r="210" spans="1:3" x14ac:dyDescent="0.25">
      <c r="A210"/>
      <c r="B210" t="s">
        <v>211</v>
      </c>
      <c r="C210">
        <v>1</v>
      </c>
    </row>
    <row r="211" spans="1:3" x14ac:dyDescent="0.25">
      <c r="A211" t="s">
        <v>660</v>
      </c>
      <c r="B211"/>
      <c r="C211">
        <v>16</v>
      </c>
    </row>
    <row r="212" spans="1:3" x14ac:dyDescent="0.25">
      <c r="A212" t="s">
        <v>656</v>
      </c>
      <c r="B212" t="s">
        <v>179</v>
      </c>
      <c r="C212">
        <v>1</v>
      </c>
    </row>
    <row r="213" spans="1:3" x14ac:dyDescent="0.25">
      <c r="A213"/>
      <c r="B213" t="s">
        <v>129</v>
      </c>
      <c r="C213">
        <v>1</v>
      </c>
    </row>
    <row r="214" spans="1:3" x14ac:dyDescent="0.25">
      <c r="A214"/>
      <c r="B214" t="s">
        <v>109</v>
      </c>
      <c r="C214">
        <v>1</v>
      </c>
    </row>
    <row r="215" spans="1:3" x14ac:dyDescent="0.25">
      <c r="A215"/>
      <c r="B215" t="s">
        <v>139</v>
      </c>
      <c r="C215">
        <v>1</v>
      </c>
    </row>
    <row r="216" spans="1:3" x14ac:dyDescent="0.25">
      <c r="A216"/>
      <c r="B216" t="s">
        <v>32</v>
      </c>
      <c r="C216">
        <v>1</v>
      </c>
    </row>
    <row r="217" spans="1:3" x14ac:dyDescent="0.25">
      <c r="A217"/>
      <c r="B217" t="s">
        <v>34</v>
      </c>
      <c r="C217">
        <v>1</v>
      </c>
    </row>
    <row r="218" spans="1:3" x14ac:dyDescent="0.25">
      <c r="A218"/>
      <c r="B218" t="s">
        <v>202</v>
      </c>
      <c r="C218">
        <v>1</v>
      </c>
    </row>
    <row r="219" spans="1:3" x14ac:dyDescent="0.25">
      <c r="A219"/>
      <c r="B219" t="s">
        <v>208</v>
      </c>
      <c r="C219">
        <v>1</v>
      </c>
    </row>
    <row r="220" spans="1:3" x14ac:dyDescent="0.25">
      <c r="A220"/>
      <c r="B220" t="s">
        <v>209</v>
      </c>
      <c r="C220">
        <v>1</v>
      </c>
    </row>
    <row r="221" spans="1:3" x14ac:dyDescent="0.25">
      <c r="A221" t="s">
        <v>662</v>
      </c>
      <c r="B221"/>
      <c r="C221">
        <v>9</v>
      </c>
    </row>
    <row r="222" spans="1:3" x14ac:dyDescent="0.25">
      <c r="A222" t="s">
        <v>635</v>
      </c>
      <c r="B222"/>
      <c r="C222">
        <v>186</v>
      </c>
    </row>
  </sheetData>
  <pageMargins left="0" right="0" top="0" bottom="0" header="0.31496062992125984" footer="0.31496062992125984"/>
  <pageSetup paperSize="9" scale="85" fitToHeight="0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2912-522D-47DD-910D-6A5460E3D50B}">
  <dimension ref="A3:F192"/>
  <sheetViews>
    <sheetView workbookViewId="0">
      <selection activeCell="A20" sqref="A20:G26"/>
    </sheetView>
  </sheetViews>
  <sheetFormatPr defaultRowHeight="15" x14ac:dyDescent="0.25"/>
  <cols>
    <col min="1" max="1" width="11.28515625" bestFit="1" customWidth="1"/>
    <col min="2" max="2" width="21.7109375" bestFit="1" customWidth="1"/>
    <col min="3" max="3" width="16.85546875" customWidth="1"/>
  </cols>
  <sheetData>
    <row r="3" spans="1:6" x14ac:dyDescent="0.25">
      <c r="A3" s="15" t="s">
        <v>686</v>
      </c>
      <c r="B3" s="15" t="s">
        <v>675</v>
      </c>
      <c r="C3" s="15" t="s">
        <v>676</v>
      </c>
      <c r="D3" s="15" t="s">
        <v>666</v>
      </c>
      <c r="E3" s="15" t="s">
        <v>658</v>
      </c>
      <c r="F3" t="s">
        <v>679</v>
      </c>
    </row>
    <row r="4" spans="1:6" x14ac:dyDescent="0.25">
      <c r="A4" t="s">
        <v>682</v>
      </c>
      <c r="B4" t="s">
        <v>441</v>
      </c>
      <c r="C4" s="41">
        <v>29418</v>
      </c>
      <c r="D4">
        <v>46</v>
      </c>
      <c r="E4" t="s">
        <v>652</v>
      </c>
      <c r="F4">
        <v>1</v>
      </c>
    </row>
    <row r="5" spans="1:6" x14ac:dyDescent="0.25">
      <c r="B5" t="s">
        <v>233</v>
      </c>
      <c r="C5" s="41">
        <v>22737</v>
      </c>
      <c r="D5">
        <v>64</v>
      </c>
      <c r="E5" t="s">
        <v>656</v>
      </c>
      <c r="F5">
        <v>1</v>
      </c>
    </row>
    <row r="6" spans="1:6" x14ac:dyDescent="0.25">
      <c r="B6" t="s">
        <v>266</v>
      </c>
      <c r="C6" s="41">
        <v>37513</v>
      </c>
      <c r="D6">
        <v>24</v>
      </c>
      <c r="E6" t="s">
        <v>650</v>
      </c>
      <c r="F6">
        <v>1</v>
      </c>
    </row>
    <row r="7" spans="1:6" x14ac:dyDescent="0.25">
      <c r="B7" t="s">
        <v>476</v>
      </c>
      <c r="C7" s="41">
        <v>33147</v>
      </c>
      <c r="D7">
        <v>36</v>
      </c>
      <c r="E7" t="s">
        <v>650</v>
      </c>
      <c r="F7">
        <v>1</v>
      </c>
    </row>
    <row r="8" spans="1:6" x14ac:dyDescent="0.25">
      <c r="B8" t="s">
        <v>268</v>
      </c>
      <c r="C8" s="41">
        <v>37882</v>
      </c>
      <c r="D8">
        <v>23</v>
      </c>
      <c r="E8" t="s">
        <v>650</v>
      </c>
      <c r="F8">
        <v>1</v>
      </c>
    </row>
    <row r="9" spans="1:6" x14ac:dyDescent="0.25">
      <c r="B9" t="s">
        <v>500</v>
      </c>
      <c r="C9" s="41">
        <v>39438</v>
      </c>
      <c r="D9">
        <v>19</v>
      </c>
      <c r="E9" t="s">
        <v>648</v>
      </c>
      <c r="F9">
        <v>1</v>
      </c>
    </row>
    <row r="10" spans="1:6" x14ac:dyDescent="0.25">
      <c r="B10" t="s">
        <v>454</v>
      </c>
      <c r="C10" s="41">
        <v>31240</v>
      </c>
      <c r="D10">
        <v>41</v>
      </c>
      <c r="E10" t="s">
        <v>650</v>
      </c>
      <c r="F10">
        <v>1</v>
      </c>
    </row>
    <row r="11" spans="1:6" x14ac:dyDescent="0.25">
      <c r="B11" t="s">
        <v>340</v>
      </c>
      <c r="C11" s="41">
        <v>29846</v>
      </c>
      <c r="D11">
        <v>45</v>
      </c>
      <c r="E11" t="s">
        <v>650</v>
      </c>
      <c r="F11">
        <v>1</v>
      </c>
    </row>
    <row r="12" spans="1:6" x14ac:dyDescent="0.25">
      <c r="B12" t="s">
        <v>472</v>
      </c>
      <c r="C12" s="41">
        <v>32578</v>
      </c>
      <c r="D12">
        <v>38</v>
      </c>
      <c r="E12" t="s">
        <v>650</v>
      </c>
      <c r="F12">
        <v>1</v>
      </c>
    </row>
    <row r="13" spans="1:6" x14ac:dyDescent="0.25">
      <c r="B13" t="s">
        <v>585</v>
      </c>
      <c r="C13" s="41">
        <v>36612</v>
      </c>
      <c r="D13">
        <v>27</v>
      </c>
      <c r="E13" t="s">
        <v>650</v>
      </c>
      <c r="F13">
        <v>1</v>
      </c>
    </row>
    <row r="14" spans="1:6" x14ac:dyDescent="0.25">
      <c r="B14" t="s">
        <v>278</v>
      </c>
      <c r="C14" s="41">
        <v>39534</v>
      </c>
      <c r="D14">
        <v>19</v>
      </c>
      <c r="E14" t="s">
        <v>650</v>
      </c>
      <c r="F14">
        <v>1</v>
      </c>
    </row>
    <row r="15" spans="1:6" x14ac:dyDescent="0.25">
      <c r="B15" t="s">
        <v>561</v>
      </c>
      <c r="C15" s="41">
        <v>28749</v>
      </c>
      <c r="D15">
        <v>48</v>
      </c>
      <c r="E15" t="s">
        <v>652</v>
      </c>
      <c r="F15">
        <v>1</v>
      </c>
    </row>
    <row r="16" spans="1:6" x14ac:dyDescent="0.25">
      <c r="B16" t="s">
        <v>257</v>
      </c>
      <c r="C16" s="41">
        <v>31505</v>
      </c>
      <c r="D16">
        <v>40</v>
      </c>
      <c r="E16" t="s">
        <v>648</v>
      </c>
      <c r="F16">
        <v>1</v>
      </c>
    </row>
    <row r="17" spans="2:6" x14ac:dyDescent="0.25">
      <c r="B17" t="s">
        <v>387</v>
      </c>
      <c r="C17" s="41">
        <v>41720</v>
      </c>
      <c r="D17">
        <v>13</v>
      </c>
      <c r="E17" t="s">
        <v>650</v>
      </c>
      <c r="F17">
        <v>1</v>
      </c>
    </row>
    <row r="18" spans="2:6" x14ac:dyDescent="0.25">
      <c r="B18" t="s">
        <v>404</v>
      </c>
      <c r="C18" s="41">
        <v>27282</v>
      </c>
      <c r="D18">
        <v>52</v>
      </c>
      <c r="E18" t="s">
        <v>648</v>
      </c>
      <c r="F18">
        <v>1</v>
      </c>
    </row>
    <row r="19" spans="2:6" x14ac:dyDescent="0.25">
      <c r="B19" t="s">
        <v>255</v>
      </c>
      <c r="C19" s="41">
        <v>31402</v>
      </c>
      <c r="D19">
        <v>41</v>
      </c>
      <c r="E19" t="s">
        <v>652</v>
      </c>
      <c r="F19">
        <v>1</v>
      </c>
    </row>
    <row r="20" spans="2:6" x14ac:dyDescent="0.25">
      <c r="B20" t="s">
        <v>599</v>
      </c>
      <c r="C20" s="41">
        <v>42552</v>
      </c>
      <c r="D20">
        <v>10</v>
      </c>
      <c r="E20" t="s">
        <v>648</v>
      </c>
      <c r="F20">
        <v>1</v>
      </c>
    </row>
    <row r="21" spans="2:6" x14ac:dyDescent="0.25">
      <c r="B21" t="s">
        <v>314</v>
      </c>
      <c r="C21" s="41">
        <v>22737</v>
      </c>
      <c r="D21">
        <v>64</v>
      </c>
      <c r="E21" t="s">
        <v>656</v>
      </c>
      <c r="F21">
        <v>1</v>
      </c>
    </row>
    <row r="22" spans="2:6" x14ac:dyDescent="0.25">
      <c r="B22" t="s">
        <v>468</v>
      </c>
      <c r="C22" s="41">
        <v>32365</v>
      </c>
      <c r="D22">
        <v>38</v>
      </c>
      <c r="E22" t="s">
        <v>650</v>
      </c>
      <c r="F22">
        <v>1</v>
      </c>
    </row>
    <row r="23" spans="2:6" x14ac:dyDescent="0.25">
      <c r="B23" t="s">
        <v>238</v>
      </c>
      <c r="C23" s="41">
        <v>24781</v>
      </c>
      <c r="D23">
        <v>59</v>
      </c>
      <c r="E23" t="s">
        <v>654</v>
      </c>
      <c r="F23">
        <v>1</v>
      </c>
    </row>
    <row r="24" spans="2:6" x14ac:dyDescent="0.25">
      <c r="B24" t="s">
        <v>502</v>
      </c>
      <c r="C24" s="41">
        <v>39726</v>
      </c>
      <c r="D24">
        <v>18</v>
      </c>
      <c r="E24" t="s">
        <v>650</v>
      </c>
      <c r="F24">
        <v>1</v>
      </c>
    </row>
    <row r="25" spans="2:6" x14ac:dyDescent="0.25">
      <c r="B25" t="s">
        <v>328</v>
      </c>
      <c r="C25" s="41">
        <v>27190</v>
      </c>
      <c r="D25">
        <v>52</v>
      </c>
      <c r="E25" t="s">
        <v>648</v>
      </c>
      <c r="F25">
        <v>1</v>
      </c>
    </row>
    <row r="26" spans="2:6" x14ac:dyDescent="0.25">
      <c r="B26" t="s">
        <v>367</v>
      </c>
      <c r="C26" s="41">
        <v>38968</v>
      </c>
      <c r="D26">
        <v>20</v>
      </c>
      <c r="E26" t="s">
        <v>648</v>
      </c>
      <c r="F26">
        <v>1</v>
      </c>
    </row>
    <row r="27" spans="2:6" x14ac:dyDescent="0.25">
      <c r="B27" t="s">
        <v>526</v>
      </c>
      <c r="C27" s="41">
        <v>44700</v>
      </c>
      <c r="D27">
        <v>4</v>
      </c>
      <c r="E27" t="s">
        <v>648</v>
      </c>
      <c r="F27">
        <v>1</v>
      </c>
    </row>
    <row r="28" spans="2:6" x14ac:dyDescent="0.25">
      <c r="B28" t="s">
        <v>518</v>
      </c>
      <c r="C28" s="41">
        <v>41680</v>
      </c>
      <c r="D28">
        <v>13</v>
      </c>
      <c r="E28" t="s">
        <v>648</v>
      </c>
      <c r="F28">
        <v>1</v>
      </c>
    </row>
    <row r="29" spans="2:6" x14ac:dyDescent="0.25">
      <c r="B29" t="s">
        <v>276</v>
      </c>
      <c r="C29" s="41">
        <v>38968</v>
      </c>
      <c r="D29">
        <v>20</v>
      </c>
      <c r="E29" t="s">
        <v>648</v>
      </c>
      <c r="F29">
        <v>1</v>
      </c>
    </row>
    <row r="30" spans="2:6" x14ac:dyDescent="0.25">
      <c r="B30" t="s">
        <v>587</v>
      </c>
      <c r="C30" s="41">
        <v>36612</v>
      </c>
      <c r="D30">
        <v>27</v>
      </c>
      <c r="E30" t="s">
        <v>652</v>
      </c>
      <c r="F30">
        <v>1</v>
      </c>
    </row>
    <row r="31" spans="2:6" x14ac:dyDescent="0.25">
      <c r="B31" t="s">
        <v>286</v>
      </c>
      <c r="C31" s="41">
        <v>40191</v>
      </c>
      <c r="D31">
        <v>17</v>
      </c>
      <c r="E31" t="s">
        <v>650</v>
      </c>
      <c r="F31">
        <v>1</v>
      </c>
    </row>
    <row r="32" spans="2:6" x14ac:dyDescent="0.25">
      <c r="B32" t="s">
        <v>464</v>
      </c>
      <c r="C32" s="41">
        <v>32142</v>
      </c>
      <c r="D32">
        <v>39</v>
      </c>
      <c r="E32" t="s">
        <v>652</v>
      </c>
      <c r="F32">
        <v>1</v>
      </c>
    </row>
    <row r="33" spans="2:6" x14ac:dyDescent="0.25">
      <c r="B33" t="s">
        <v>552</v>
      </c>
      <c r="C33" s="41">
        <v>45938</v>
      </c>
      <c r="D33">
        <v>1</v>
      </c>
      <c r="E33" t="s">
        <v>648</v>
      </c>
      <c r="F33">
        <v>1</v>
      </c>
    </row>
    <row r="34" spans="2:6" x14ac:dyDescent="0.25">
      <c r="B34" t="s">
        <v>601</v>
      </c>
      <c r="C34" s="41">
        <v>42552</v>
      </c>
      <c r="D34">
        <v>10</v>
      </c>
      <c r="E34" t="s">
        <v>650</v>
      </c>
      <c r="F34">
        <v>1</v>
      </c>
    </row>
    <row r="35" spans="2:6" x14ac:dyDescent="0.25">
      <c r="B35" t="s">
        <v>445</v>
      </c>
      <c r="C35" s="41">
        <v>29571</v>
      </c>
      <c r="D35">
        <v>46</v>
      </c>
      <c r="E35" t="s">
        <v>652</v>
      </c>
      <c r="F35">
        <v>1</v>
      </c>
    </row>
    <row r="36" spans="2:6" x14ac:dyDescent="0.25">
      <c r="B36" t="s">
        <v>408</v>
      </c>
      <c r="C36" s="41">
        <v>29114</v>
      </c>
      <c r="D36">
        <v>47</v>
      </c>
      <c r="E36" t="s">
        <v>652</v>
      </c>
      <c r="F36">
        <v>1</v>
      </c>
    </row>
    <row r="37" spans="2:6" x14ac:dyDescent="0.25">
      <c r="B37" t="s">
        <v>299</v>
      </c>
      <c r="C37" s="41">
        <v>42215</v>
      </c>
      <c r="D37">
        <v>11</v>
      </c>
      <c r="E37" t="s">
        <v>648</v>
      </c>
      <c r="F37">
        <v>1</v>
      </c>
    </row>
    <row r="38" spans="2:6" x14ac:dyDescent="0.25">
      <c r="B38" t="s">
        <v>494</v>
      </c>
      <c r="C38" s="41">
        <v>38541</v>
      </c>
      <c r="D38">
        <v>21</v>
      </c>
      <c r="E38" t="s">
        <v>650</v>
      </c>
      <c r="F38">
        <v>1</v>
      </c>
    </row>
    <row r="39" spans="2:6" x14ac:dyDescent="0.25">
      <c r="B39" t="s">
        <v>498</v>
      </c>
      <c r="C39" s="41">
        <v>39073</v>
      </c>
      <c r="D39">
        <v>20</v>
      </c>
      <c r="E39" t="s">
        <v>648</v>
      </c>
      <c r="F39">
        <v>1</v>
      </c>
    </row>
    <row r="40" spans="2:6" x14ac:dyDescent="0.25">
      <c r="B40" t="s">
        <v>428</v>
      </c>
      <c r="C40" s="41">
        <v>42630</v>
      </c>
      <c r="D40">
        <v>10</v>
      </c>
      <c r="E40" t="s">
        <v>648</v>
      </c>
      <c r="F40">
        <v>1</v>
      </c>
    </row>
    <row r="41" spans="2:6" x14ac:dyDescent="0.25">
      <c r="B41" t="s">
        <v>524</v>
      </c>
      <c r="C41" s="41">
        <v>43181</v>
      </c>
      <c r="D41">
        <v>9</v>
      </c>
      <c r="E41" t="s">
        <v>648</v>
      </c>
      <c r="F41">
        <v>1</v>
      </c>
    </row>
    <row r="42" spans="2:6" x14ac:dyDescent="0.25">
      <c r="B42" t="s">
        <v>343</v>
      </c>
      <c r="C42" s="41">
        <v>30015</v>
      </c>
      <c r="D42">
        <v>45</v>
      </c>
      <c r="E42" t="s">
        <v>652</v>
      </c>
      <c r="F42">
        <v>1</v>
      </c>
    </row>
    <row r="43" spans="2:6" x14ac:dyDescent="0.25">
      <c r="B43" t="s">
        <v>557</v>
      </c>
      <c r="C43" s="41">
        <v>26999</v>
      </c>
      <c r="D43">
        <v>53</v>
      </c>
      <c r="E43" t="s">
        <v>654</v>
      </c>
      <c r="F43">
        <v>1</v>
      </c>
    </row>
    <row r="44" spans="2:6" x14ac:dyDescent="0.25">
      <c r="B44" t="s">
        <v>514</v>
      </c>
      <c r="C44" s="41">
        <v>41359</v>
      </c>
      <c r="D44">
        <v>14</v>
      </c>
      <c r="E44" t="s">
        <v>650</v>
      </c>
      <c r="F44">
        <v>1</v>
      </c>
    </row>
    <row r="45" spans="2:6" x14ac:dyDescent="0.25">
      <c r="B45" t="s">
        <v>546</v>
      </c>
      <c r="C45" s="41">
        <v>45839</v>
      </c>
      <c r="D45">
        <v>1</v>
      </c>
      <c r="E45" t="s">
        <v>648</v>
      </c>
      <c r="F45">
        <v>1</v>
      </c>
    </row>
    <row r="46" spans="2:6" x14ac:dyDescent="0.25">
      <c r="B46" t="s">
        <v>315</v>
      </c>
      <c r="C46" s="41">
        <v>22737</v>
      </c>
      <c r="D46">
        <v>64</v>
      </c>
      <c r="E46" t="s">
        <v>652</v>
      </c>
      <c r="F46">
        <v>1</v>
      </c>
    </row>
    <row r="47" spans="2:6" x14ac:dyDescent="0.25">
      <c r="B47" t="s">
        <v>410</v>
      </c>
      <c r="C47" s="41">
        <v>32862</v>
      </c>
      <c r="D47">
        <v>37</v>
      </c>
      <c r="E47" t="s">
        <v>648</v>
      </c>
      <c r="F47">
        <v>1</v>
      </c>
    </row>
    <row r="48" spans="2:6" x14ac:dyDescent="0.25">
      <c r="B48" t="s">
        <v>536</v>
      </c>
      <c r="C48" s="41">
        <v>45294</v>
      </c>
      <c r="D48">
        <v>3</v>
      </c>
      <c r="E48" t="s">
        <v>648</v>
      </c>
      <c r="F48">
        <v>1</v>
      </c>
    </row>
    <row r="49" spans="2:6" x14ac:dyDescent="0.25">
      <c r="B49" t="s">
        <v>466</v>
      </c>
      <c r="C49" s="41">
        <v>32263</v>
      </c>
      <c r="D49">
        <v>38</v>
      </c>
      <c r="E49" t="s">
        <v>652</v>
      </c>
      <c r="F49">
        <v>1</v>
      </c>
    </row>
    <row r="50" spans="2:6" x14ac:dyDescent="0.25">
      <c r="B50" t="s">
        <v>474</v>
      </c>
      <c r="C50" s="41">
        <v>32862</v>
      </c>
      <c r="D50">
        <v>37</v>
      </c>
      <c r="E50" t="s">
        <v>650</v>
      </c>
      <c r="F50">
        <v>1</v>
      </c>
    </row>
    <row r="51" spans="2:6" x14ac:dyDescent="0.25">
      <c r="B51" t="s">
        <v>297</v>
      </c>
      <c r="C51" s="41">
        <v>41426</v>
      </c>
      <c r="D51">
        <v>13</v>
      </c>
      <c r="E51" t="s">
        <v>648</v>
      </c>
      <c r="F51">
        <v>1</v>
      </c>
    </row>
    <row r="52" spans="2:6" x14ac:dyDescent="0.25">
      <c r="B52" t="s">
        <v>420</v>
      </c>
      <c r="C52" s="41">
        <v>41642</v>
      </c>
      <c r="D52">
        <v>13</v>
      </c>
      <c r="E52" t="s">
        <v>648</v>
      </c>
      <c r="F52">
        <v>1</v>
      </c>
    </row>
    <row r="53" spans="2:6" x14ac:dyDescent="0.25">
      <c r="B53" t="s">
        <v>412</v>
      </c>
      <c r="C53" s="41">
        <v>32940</v>
      </c>
      <c r="D53">
        <v>37</v>
      </c>
      <c r="E53" t="s">
        <v>648</v>
      </c>
      <c r="F53">
        <v>1</v>
      </c>
    </row>
    <row r="54" spans="2:6" x14ac:dyDescent="0.25">
      <c r="B54" t="s">
        <v>319</v>
      </c>
      <c r="C54" s="41">
        <v>24807</v>
      </c>
      <c r="D54">
        <v>59</v>
      </c>
      <c r="E54" t="s">
        <v>654</v>
      </c>
      <c r="F54">
        <v>1</v>
      </c>
    </row>
    <row r="55" spans="2:6" x14ac:dyDescent="0.25">
      <c r="B55" t="s">
        <v>347</v>
      </c>
      <c r="C55" s="41">
        <v>31306</v>
      </c>
      <c r="D55">
        <v>41</v>
      </c>
      <c r="E55" t="s">
        <v>648</v>
      </c>
      <c r="F55">
        <v>1</v>
      </c>
    </row>
    <row r="56" spans="2:6" x14ac:dyDescent="0.25">
      <c r="B56" t="s">
        <v>563</v>
      </c>
      <c r="C56" s="41">
        <v>29313</v>
      </c>
      <c r="D56">
        <v>46</v>
      </c>
      <c r="E56" t="s">
        <v>654</v>
      </c>
      <c r="F56">
        <v>1</v>
      </c>
    </row>
    <row r="57" spans="2:6" x14ac:dyDescent="0.25">
      <c r="B57" t="s">
        <v>284</v>
      </c>
      <c r="C57" s="41">
        <v>40163</v>
      </c>
      <c r="D57">
        <v>17</v>
      </c>
      <c r="E57" t="s">
        <v>650</v>
      </c>
      <c r="F57">
        <v>1</v>
      </c>
    </row>
    <row r="58" spans="2:6" x14ac:dyDescent="0.25">
      <c r="B58" t="s">
        <v>307</v>
      </c>
      <c r="C58" s="41">
        <v>45008</v>
      </c>
      <c r="D58">
        <v>4</v>
      </c>
      <c r="E58" t="s">
        <v>650</v>
      </c>
      <c r="F58">
        <v>1</v>
      </c>
    </row>
    <row r="59" spans="2:6" x14ac:dyDescent="0.25">
      <c r="B59" t="s">
        <v>437</v>
      </c>
      <c r="C59" s="41">
        <v>27583</v>
      </c>
      <c r="D59">
        <v>51</v>
      </c>
      <c r="E59" t="s">
        <v>654</v>
      </c>
      <c r="F59">
        <v>1</v>
      </c>
    </row>
    <row r="60" spans="2:6" x14ac:dyDescent="0.25">
      <c r="B60" t="s">
        <v>243</v>
      </c>
      <c r="C60" s="41">
        <v>27164</v>
      </c>
      <c r="D60">
        <v>52</v>
      </c>
      <c r="E60" t="s">
        <v>650</v>
      </c>
      <c r="F60">
        <v>1</v>
      </c>
    </row>
    <row r="61" spans="2:6" x14ac:dyDescent="0.25">
      <c r="B61" t="s">
        <v>309</v>
      </c>
      <c r="C61" s="41">
        <v>45882</v>
      </c>
      <c r="D61">
        <v>1</v>
      </c>
      <c r="E61" t="s">
        <v>648</v>
      </c>
      <c r="F61">
        <v>1</v>
      </c>
    </row>
    <row r="62" spans="2:6" x14ac:dyDescent="0.25">
      <c r="B62" t="s">
        <v>496</v>
      </c>
      <c r="C62" s="41">
        <v>38968</v>
      </c>
      <c r="D62">
        <v>20</v>
      </c>
      <c r="E62" t="s">
        <v>650</v>
      </c>
      <c r="F62">
        <v>1</v>
      </c>
    </row>
    <row r="63" spans="2:6" x14ac:dyDescent="0.25">
      <c r="B63" t="s">
        <v>341</v>
      </c>
      <c r="C63" s="41">
        <v>29943</v>
      </c>
      <c r="D63">
        <v>45</v>
      </c>
      <c r="E63" t="s">
        <v>652</v>
      </c>
      <c r="F63">
        <v>1</v>
      </c>
    </row>
    <row r="64" spans="2:6" x14ac:dyDescent="0.25">
      <c r="B64" t="s">
        <v>579</v>
      </c>
      <c r="C64" s="41">
        <v>36219</v>
      </c>
      <c r="D64">
        <v>28</v>
      </c>
      <c r="E64" t="s">
        <v>656</v>
      </c>
      <c r="F64">
        <v>1</v>
      </c>
    </row>
    <row r="65" spans="2:6" x14ac:dyDescent="0.25">
      <c r="B65" t="s">
        <v>406</v>
      </c>
      <c r="C65" s="41">
        <v>28384</v>
      </c>
      <c r="D65">
        <v>49</v>
      </c>
      <c r="E65" t="s">
        <v>652</v>
      </c>
      <c r="F65">
        <v>1</v>
      </c>
    </row>
    <row r="66" spans="2:6" x14ac:dyDescent="0.25">
      <c r="B66" t="s">
        <v>462</v>
      </c>
      <c r="C66" s="41">
        <v>32037</v>
      </c>
      <c r="D66">
        <v>39</v>
      </c>
      <c r="E66" t="s">
        <v>650</v>
      </c>
      <c r="F66">
        <v>1</v>
      </c>
    </row>
    <row r="67" spans="2:6" x14ac:dyDescent="0.25">
      <c r="B67" t="s">
        <v>522</v>
      </c>
      <c r="C67" s="41">
        <v>42045</v>
      </c>
      <c r="D67">
        <v>12</v>
      </c>
      <c r="E67" t="s">
        <v>648</v>
      </c>
      <c r="F67">
        <v>1</v>
      </c>
    </row>
    <row r="68" spans="2:6" x14ac:dyDescent="0.25">
      <c r="B68" t="s">
        <v>528</v>
      </c>
      <c r="C68" s="41">
        <v>44701</v>
      </c>
      <c r="D68">
        <v>4</v>
      </c>
      <c r="E68" t="s">
        <v>648</v>
      </c>
      <c r="F68">
        <v>1</v>
      </c>
    </row>
    <row r="69" spans="2:6" x14ac:dyDescent="0.25">
      <c r="B69" t="s">
        <v>520</v>
      </c>
      <c r="C69" s="41">
        <v>42045</v>
      </c>
      <c r="D69">
        <v>12</v>
      </c>
      <c r="E69" t="s">
        <v>648</v>
      </c>
      <c r="F69">
        <v>1</v>
      </c>
    </row>
    <row r="70" spans="2:6" x14ac:dyDescent="0.25">
      <c r="B70" t="s">
        <v>572</v>
      </c>
      <c r="C70" s="41">
        <v>32365</v>
      </c>
      <c r="D70">
        <v>38</v>
      </c>
      <c r="E70" t="s">
        <v>650</v>
      </c>
      <c r="F70">
        <v>1</v>
      </c>
    </row>
    <row r="71" spans="2:6" x14ac:dyDescent="0.25">
      <c r="B71" t="s">
        <v>575</v>
      </c>
      <c r="C71" s="41">
        <v>32365</v>
      </c>
      <c r="D71">
        <v>38</v>
      </c>
      <c r="E71" t="s">
        <v>652</v>
      </c>
      <c r="F71">
        <v>1</v>
      </c>
    </row>
    <row r="72" spans="2:6" x14ac:dyDescent="0.25">
      <c r="B72" t="s">
        <v>349</v>
      </c>
      <c r="C72" s="41">
        <v>31306</v>
      </c>
      <c r="D72">
        <v>41</v>
      </c>
      <c r="E72" t="s">
        <v>648</v>
      </c>
      <c r="F72">
        <v>1</v>
      </c>
    </row>
    <row r="73" spans="2:6" x14ac:dyDescent="0.25">
      <c r="B73" t="s">
        <v>316</v>
      </c>
      <c r="C73" s="41">
        <v>22737</v>
      </c>
      <c r="D73">
        <v>64</v>
      </c>
      <c r="E73" t="s">
        <v>656</v>
      </c>
      <c r="F73">
        <v>1</v>
      </c>
    </row>
    <row r="74" spans="2:6" x14ac:dyDescent="0.25">
      <c r="B74" t="s">
        <v>305</v>
      </c>
      <c r="C74" s="41">
        <v>42552</v>
      </c>
      <c r="D74">
        <v>10</v>
      </c>
      <c r="E74" t="s">
        <v>648</v>
      </c>
      <c r="F74">
        <v>1</v>
      </c>
    </row>
    <row r="75" spans="2:6" x14ac:dyDescent="0.25">
      <c r="B75" t="s">
        <v>433</v>
      </c>
      <c r="C75" s="41">
        <v>26163</v>
      </c>
      <c r="D75">
        <v>55</v>
      </c>
      <c r="E75" t="s">
        <v>656</v>
      </c>
      <c r="F75">
        <v>1</v>
      </c>
    </row>
    <row r="76" spans="2:6" x14ac:dyDescent="0.25">
      <c r="B76" t="s">
        <v>490</v>
      </c>
      <c r="C76" s="41">
        <v>38095</v>
      </c>
      <c r="D76">
        <v>22</v>
      </c>
      <c r="E76" t="s">
        <v>650</v>
      </c>
      <c r="F76">
        <v>1</v>
      </c>
    </row>
    <row r="77" spans="2:6" x14ac:dyDescent="0.25">
      <c r="B77" t="s">
        <v>431</v>
      </c>
      <c r="C77" s="41">
        <v>25659</v>
      </c>
      <c r="D77">
        <v>56</v>
      </c>
      <c r="E77" t="s">
        <v>656</v>
      </c>
      <c r="F77">
        <v>1</v>
      </c>
    </row>
    <row r="78" spans="2:6" x14ac:dyDescent="0.25">
      <c r="B78" t="s">
        <v>565</v>
      </c>
      <c r="C78" s="41">
        <v>29943</v>
      </c>
      <c r="D78">
        <v>45</v>
      </c>
      <c r="E78" t="s">
        <v>652</v>
      </c>
      <c r="F78">
        <v>1</v>
      </c>
    </row>
    <row r="79" spans="2:6" x14ac:dyDescent="0.25">
      <c r="B79" t="s">
        <v>259</v>
      </c>
      <c r="C79" s="41">
        <v>31897</v>
      </c>
      <c r="D79">
        <v>39</v>
      </c>
      <c r="E79" t="s">
        <v>650</v>
      </c>
      <c r="F79">
        <v>1</v>
      </c>
    </row>
    <row r="80" spans="2:6" x14ac:dyDescent="0.25">
      <c r="B80" t="s">
        <v>569</v>
      </c>
      <c r="C80" s="41">
        <v>31976</v>
      </c>
      <c r="D80">
        <v>39</v>
      </c>
      <c r="E80" t="s">
        <v>650</v>
      </c>
      <c r="F80">
        <v>1</v>
      </c>
    </row>
    <row r="81" spans="2:6" x14ac:dyDescent="0.25">
      <c r="B81" t="s">
        <v>435</v>
      </c>
      <c r="C81" s="41">
        <v>26163</v>
      </c>
      <c r="D81">
        <v>55</v>
      </c>
      <c r="E81" t="s">
        <v>650</v>
      </c>
      <c r="F81">
        <v>1</v>
      </c>
    </row>
    <row r="82" spans="2:6" x14ac:dyDescent="0.25">
      <c r="B82" t="s">
        <v>512</v>
      </c>
      <c r="C82" s="41">
        <v>41359</v>
      </c>
      <c r="D82">
        <v>14</v>
      </c>
      <c r="E82" t="s">
        <v>648</v>
      </c>
      <c r="F82">
        <v>1</v>
      </c>
    </row>
    <row r="83" spans="2:6" x14ac:dyDescent="0.25">
      <c r="B83" t="s">
        <v>426</v>
      </c>
      <c r="C83" s="41">
        <v>42592</v>
      </c>
      <c r="D83">
        <v>10</v>
      </c>
      <c r="E83" t="s">
        <v>648</v>
      </c>
      <c r="F83">
        <v>1</v>
      </c>
    </row>
    <row r="84" spans="2:6" x14ac:dyDescent="0.25">
      <c r="B84" t="s">
        <v>548</v>
      </c>
      <c r="C84" s="41">
        <v>45839</v>
      </c>
      <c r="D84">
        <v>1</v>
      </c>
      <c r="E84" t="s">
        <v>650</v>
      </c>
      <c r="F84">
        <v>1</v>
      </c>
    </row>
    <row r="85" spans="2:6" x14ac:dyDescent="0.25">
      <c r="B85" t="s">
        <v>395</v>
      </c>
      <c r="C85" s="41">
        <v>42774</v>
      </c>
      <c r="D85">
        <v>10</v>
      </c>
      <c r="E85" t="s">
        <v>650</v>
      </c>
      <c r="F85">
        <v>1</v>
      </c>
    </row>
    <row r="86" spans="2:6" x14ac:dyDescent="0.25">
      <c r="B86" t="s">
        <v>603</v>
      </c>
      <c r="C86" s="41">
        <v>42552</v>
      </c>
      <c r="D86">
        <v>10</v>
      </c>
      <c r="E86" t="s">
        <v>648</v>
      </c>
      <c r="F86">
        <v>1</v>
      </c>
    </row>
    <row r="87" spans="2:6" x14ac:dyDescent="0.25">
      <c r="B87" t="s">
        <v>369</v>
      </c>
      <c r="C87" s="41">
        <v>38968</v>
      </c>
      <c r="D87">
        <v>20</v>
      </c>
      <c r="E87" t="s">
        <v>650</v>
      </c>
      <c r="F87">
        <v>1</v>
      </c>
    </row>
    <row r="88" spans="2:6" x14ac:dyDescent="0.25">
      <c r="B88" t="s">
        <v>389</v>
      </c>
      <c r="C88" s="41">
        <v>42045</v>
      </c>
      <c r="D88">
        <v>12</v>
      </c>
      <c r="E88" t="s">
        <v>648</v>
      </c>
      <c r="F88">
        <v>1</v>
      </c>
    </row>
    <row r="89" spans="2:6" x14ac:dyDescent="0.25">
      <c r="B89" t="s">
        <v>301</v>
      </c>
      <c r="C89" s="41">
        <v>42386</v>
      </c>
      <c r="D89">
        <v>11</v>
      </c>
      <c r="E89" t="s">
        <v>654</v>
      </c>
      <c r="F89">
        <v>1</v>
      </c>
    </row>
    <row r="90" spans="2:6" x14ac:dyDescent="0.25">
      <c r="B90" t="s">
        <v>391</v>
      </c>
      <c r="C90" s="41">
        <v>42230</v>
      </c>
      <c r="D90">
        <v>11</v>
      </c>
      <c r="E90" t="s">
        <v>654</v>
      </c>
      <c r="F90">
        <v>1</v>
      </c>
    </row>
    <row r="91" spans="2:6" x14ac:dyDescent="0.25">
      <c r="B91" t="s">
        <v>377</v>
      </c>
      <c r="C91" s="41">
        <v>40904</v>
      </c>
      <c r="D91">
        <v>15</v>
      </c>
      <c r="E91" t="s">
        <v>650</v>
      </c>
      <c r="F91">
        <v>1</v>
      </c>
    </row>
    <row r="92" spans="2:6" x14ac:dyDescent="0.25">
      <c r="B92" t="s">
        <v>379</v>
      </c>
      <c r="C92" s="41">
        <v>41642</v>
      </c>
      <c r="D92">
        <v>13</v>
      </c>
      <c r="E92" t="s">
        <v>650</v>
      </c>
      <c r="F92">
        <v>1</v>
      </c>
    </row>
    <row r="93" spans="2:6" x14ac:dyDescent="0.25">
      <c r="B93" t="s">
        <v>591</v>
      </c>
      <c r="C93" s="41">
        <v>38056</v>
      </c>
      <c r="D93">
        <v>23</v>
      </c>
      <c r="E93" t="s">
        <v>650</v>
      </c>
      <c r="F93">
        <v>1</v>
      </c>
    </row>
    <row r="94" spans="2:6" x14ac:dyDescent="0.25">
      <c r="B94" t="s">
        <v>399</v>
      </c>
      <c r="C94" s="41">
        <v>45804</v>
      </c>
      <c r="D94">
        <v>1</v>
      </c>
      <c r="E94" t="s">
        <v>648</v>
      </c>
      <c r="F94">
        <v>1</v>
      </c>
    </row>
    <row r="95" spans="2:6" x14ac:dyDescent="0.25">
      <c r="B95" t="s">
        <v>510</v>
      </c>
      <c r="C95" s="41">
        <v>41359</v>
      </c>
      <c r="D95">
        <v>14</v>
      </c>
      <c r="E95" t="s">
        <v>650</v>
      </c>
      <c r="F95">
        <v>1</v>
      </c>
    </row>
    <row r="96" spans="2:6" x14ac:dyDescent="0.25">
      <c r="B96" t="s">
        <v>249</v>
      </c>
      <c r="C96" s="41">
        <v>29788</v>
      </c>
      <c r="D96">
        <v>45</v>
      </c>
      <c r="E96" t="s">
        <v>650</v>
      </c>
      <c r="F96">
        <v>1</v>
      </c>
    </row>
    <row r="97" spans="2:6" x14ac:dyDescent="0.25">
      <c r="B97" t="s">
        <v>554</v>
      </c>
      <c r="C97" s="41">
        <v>46059</v>
      </c>
      <c r="D97">
        <v>1</v>
      </c>
      <c r="E97" t="s">
        <v>648</v>
      </c>
      <c r="F97">
        <v>1</v>
      </c>
    </row>
    <row r="98" spans="2:6" x14ac:dyDescent="0.25">
      <c r="B98" t="s">
        <v>456</v>
      </c>
      <c r="C98" s="41">
        <v>31306</v>
      </c>
      <c r="D98">
        <v>41</v>
      </c>
      <c r="E98" t="s">
        <v>652</v>
      </c>
      <c r="F98">
        <v>1</v>
      </c>
    </row>
    <row r="99" spans="2:6" x14ac:dyDescent="0.25">
      <c r="B99" t="s">
        <v>336</v>
      </c>
      <c r="C99" s="41">
        <v>29705</v>
      </c>
      <c r="D99">
        <v>45</v>
      </c>
      <c r="E99" t="s">
        <v>650</v>
      </c>
      <c r="F99">
        <v>1</v>
      </c>
    </row>
    <row r="100" spans="2:6" x14ac:dyDescent="0.25">
      <c r="B100" t="s">
        <v>332</v>
      </c>
      <c r="C100" s="41">
        <v>29313</v>
      </c>
      <c r="D100">
        <v>46</v>
      </c>
      <c r="E100" t="s">
        <v>648</v>
      </c>
      <c r="F100">
        <v>1</v>
      </c>
    </row>
    <row r="101" spans="2:6" x14ac:dyDescent="0.25">
      <c r="B101" t="s">
        <v>385</v>
      </c>
      <c r="C101" s="41">
        <v>41680</v>
      </c>
      <c r="D101">
        <v>13</v>
      </c>
      <c r="E101" t="s">
        <v>650</v>
      </c>
      <c r="F101">
        <v>1</v>
      </c>
    </row>
    <row r="102" spans="2:6" x14ac:dyDescent="0.25">
      <c r="B102" t="s">
        <v>605</v>
      </c>
      <c r="C102" s="41">
        <v>42552</v>
      </c>
      <c r="D102">
        <v>10</v>
      </c>
      <c r="E102" t="s">
        <v>648</v>
      </c>
      <c r="F102">
        <v>1</v>
      </c>
    </row>
    <row r="103" spans="2:6" x14ac:dyDescent="0.25">
      <c r="B103" t="s">
        <v>288</v>
      </c>
      <c r="C103" s="41">
        <v>40360</v>
      </c>
      <c r="D103">
        <v>16</v>
      </c>
      <c r="E103" t="s">
        <v>648</v>
      </c>
      <c r="F103">
        <v>1</v>
      </c>
    </row>
    <row r="104" spans="2:6" x14ac:dyDescent="0.25">
      <c r="B104" t="s">
        <v>443</v>
      </c>
      <c r="C104" s="41">
        <v>29418</v>
      </c>
      <c r="D104">
        <v>46</v>
      </c>
      <c r="E104" t="s">
        <v>654</v>
      </c>
      <c r="F104">
        <v>1</v>
      </c>
    </row>
    <row r="105" spans="2:6" x14ac:dyDescent="0.25">
      <c r="B105" t="s">
        <v>559</v>
      </c>
      <c r="C105" s="41">
        <v>27282</v>
      </c>
      <c r="D105">
        <v>52</v>
      </c>
      <c r="E105" t="s">
        <v>654</v>
      </c>
      <c r="F105">
        <v>1</v>
      </c>
    </row>
    <row r="106" spans="2:6" x14ac:dyDescent="0.25">
      <c r="B106" t="s">
        <v>318</v>
      </c>
      <c r="C106" s="41">
        <v>22737</v>
      </c>
      <c r="D106">
        <v>64</v>
      </c>
      <c r="E106" t="s">
        <v>650</v>
      </c>
      <c r="F106">
        <v>1</v>
      </c>
    </row>
    <row r="107" spans="2:6" x14ac:dyDescent="0.25">
      <c r="B107" t="s">
        <v>607</v>
      </c>
      <c r="C107" s="41">
        <v>45152</v>
      </c>
      <c r="D107">
        <v>3</v>
      </c>
      <c r="E107" t="s">
        <v>648</v>
      </c>
      <c r="F107">
        <v>1</v>
      </c>
    </row>
    <row r="108" spans="2:6" x14ac:dyDescent="0.25">
      <c r="B108" t="s">
        <v>534</v>
      </c>
      <c r="C108" s="41">
        <v>45152</v>
      </c>
      <c r="D108">
        <v>3</v>
      </c>
      <c r="E108" t="s">
        <v>648</v>
      </c>
      <c r="F108">
        <v>1</v>
      </c>
    </row>
    <row r="109" spans="2:6" x14ac:dyDescent="0.25">
      <c r="B109" t="s">
        <v>321</v>
      </c>
      <c r="C109" s="41">
        <v>26163</v>
      </c>
      <c r="D109">
        <v>55</v>
      </c>
      <c r="E109" t="s">
        <v>652</v>
      </c>
      <c r="F109">
        <v>1</v>
      </c>
    </row>
    <row r="110" spans="2:6" x14ac:dyDescent="0.25">
      <c r="B110" t="s">
        <v>480</v>
      </c>
      <c r="C110" s="41">
        <v>35947</v>
      </c>
      <c r="D110">
        <v>28</v>
      </c>
      <c r="E110" t="s">
        <v>650</v>
      </c>
      <c r="F110">
        <v>1</v>
      </c>
    </row>
    <row r="111" spans="2:6" x14ac:dyDescent="0.25">
      <c r="B111" t="s">
        <v>458</v>
      </c>
      <c r="C111" s="41">
        <v>31402</v>
      </c>
      <c r="D111">
        <v>41</v>
      </c>
      <c r="E111" t="s">
        <v>652</v>
      </c>
      <c r="F111">
        <v>1</v>
      </c>
    </row>
    <row r="112" spans="2:6" x14ac:dyDescent="0.25">
      <c r="B112" t="s">
        <v>482</v>
      </c>
      <c r="C112" s="41">
        <v>36094</v>
      </c>
      <c r="D112">
        <v>28</v>
      </c>
      <c r="E112" t="s">
        <v>650</v>
      </c>
      <c r="F112">
        <v>1</v>
      </c>
    </row>
    <row r="113" spans="2:6" x14ac:dyDescent="0.25">
      <c r="B113" t="s">
        <v>311</v>
      </c>
      <c r="C113" s="41">
        <v>45938</v>
      </c>
      <c r="D113">
        <v>1</v>
      </c>
      <c r="E113" t="s">
        <v>648</v>
      </c>
      <c r="F113">
        <v>1</v>
      </c>
    </row>
    <row r="114" spans="2:6" x14ac:dyDescent="0.25">
      <c r="B114" t="s">
        <v>484</v>
      </c>
      <c r="C114" s="41">
        <v>36612</v>
      </c>
      <c r="D114">
        <v>27</v>
      </c>
      <c r="E114" t="s">
        <v>650</v>
      </c>
      <c r="F114">
        <v>1</v>
      </c>
    </row>
    <row r="115" spans="2:6" x14ac:dyDescent="0.25">
      <c r="B115" t="s">
        <v>538</v>
      </c>
      <c r="C115" s="41">
        <v>45294</v>
      </c>
      <c r="D115">
        <v>3</v>
      </c>
      <c r="E115" t="s">
        <v>648</v>
      </c>
      <c r="F115">
        <v>1</v>
      </c>
    </row>
    <row r="116" spans="2:6" x14ac:dyDescent="0.25">
      <c r="B116" t="s">
        <v>345</v>
      </c>
      <c r="C116" s="41">
        <v>30156</v>
      </c>
      <c r="D116">
        <v>44</v>
      </c>
      <c r="E116" t="s">
        <v>650</v>
      </c>
      <c r="F116">
        <v>1</v>
      </c>
    </row>
    <row r="117" spans="2:6" x14ac:dyDescent="0.25">
      <c r="B117" t="s">
        <v>550</v>
      </c>
      <c r="C117" s="41">
        <v>45839</v>
      </c>
      <c r="D117">
        <v>1</v>
      </c>
      <c r="E117" t="s">
        <v>648</v>
      </c>
      <c r="F117">
        <v>1</v>
      </c>
    </row>
    <row r="118" spans="2:6" x14ac:dyDescent="0.25">
      <c r="B118" t="s">
        <v>247</v>
      </c>
      <c r="C118" s="41">
        <v>28601</v>
      </c>
      <c r="D118">
        <v>48</v>
      </c>
      <c r="E118" t="s">
        <v>654</v>
      </c>
      <c r="F118">
        <v>1</v>
      </c>
    </row>
    <row r="119" spans="2:6" x14ac:dyDescent="0.25">
      <c r="B119" t="s">
        <v>295</v>
      </c>
      <c r="C119" s="41">
        <v>41426</v>
      </c>
      <c r="D119">
        <v>13</v>
      </c>
      <c r="E119" t="s">
        <v>648</v>
      </c>
      <c r="F119">
        <v>1</v>
      </c>
    </row>
    <row r="120" spans="2:6" x14ac:dyDescent="0.25">
      <c r="B120" t="s">
        <v>251</v>
      </c>
      <c r="C120" s="41">
        <v>29788</v>
      </c>
      <c r="D120">
        <v>45</v>
      </c>
      <c r="E120" t="s">
        <v>652</v>
      </c>
      <c r="F120">
        <v>1</v>
      </c>
    </row>
    <row r="121" spans="2:6" x14ac:dyDescent="0.25">
      <c r="B121" t="s">
        <v>274</v>
      </c>
      <c r="C121" s="41">
        <v>38687</v>
      </c>
      <c r="D121">
        <v>21</v>
      </c>
      <c r="E121" t="s">
        <v>654</v>
      </c>
      <c r="F121">
        <v>1</v>
      </c>
    </row>
    <row r="122" spans="2:6" x14ac:dyDescent="0.25">
      <c r="B122" t="s">
        <v>293</v>
      </c>
      <c r="C122" s="41">
        <v>41359</v>
      </c>
      <c r="D122">
        <v>14</v>
      </c>
      <c r="E122" t="s">
        <v>648</v>
      </c>
      <c r="F122">
        <v>1</v>
      </c>
    </row>
    <row r="123" spans="2:6" x14ac:dyDescent="0.25">
      <c r="B123" t="s">
        <v>540</v>
      </c>
      <c r="C123" s="41">
        <v>45294</v>
      </c>
      <c r="D123">
        <v>3</v>
      </c>
      <c r="E123" t="s">
        <v>648</v>
      </c>
      <c r="F123">
        <v>1</v>
      </c>
    </row>
    <row r="124" spans="2:6" x14ac:dyDescent="0.25">
      <c r="B124" t="s">
        <v>371</v>
      </c>
      <c r="C124" s="41">
        <v>39073</v>
      </c>
      <c r="D124">
        <v>20</v>
      </c>
      <c r="E124" t="s">
        <v>650</v>
      </c>
      <c r="F124">
        <v>1</v>
      </c>
    </row>
    <row r="125" spans="2:6" x14ac:dyDescent="0.25">
      <c r="B125" t="s">
        <v>401</v>
      </c>
      <c r="C125" s="41">
        <v>45804</v>
      </c>
      <c r="D125">
        <v>1</v>
      </c>
      <c r="E125" t="s">
        <v>648</v>
      </c>
      <c r="F125">
        <v>1</v>
      </c>
    </row>
    <row r="126" spans="2:6" x14ac:dyDescent="0.25">
      <c r="B126" t="s">
        <v>478</v>
      </c>
      <c r="C126" s="41">
        <v>33256</v>
      </c>
      <c r="D126">
        <v>36</v>
      </c>
      <c r="E126" t="s">
        <v>654</v>
      </c>
      <c r="F126">
        <v>1</v>
      </c>
    </row>
    <row r="127" spans="2:6" x14ac:dyDescent="0.25">
      <c r="B127" t="s">
        <v>383</v>
      </c>
      <c r="C127" s="41">
        <v>41642</v>
      </c>
      <c r="D127">
        <v>13</v>
      </c>
      <c r="E127" t="s">
        <v>650</v>
      </c>
      <c r="F127">
        <v>1</v>
      </c>
    </row>
    <row r="128" spans="2:6" x14ac:dyDescent="0.25">
      <c r="B128" t="s">
        <v>357</v>
      </c>
      <c r="C128" s="41">
        <v>32142</v>
      </c>
      <c r="D128">
        <v>39</v>
      </c>
      <c r="E128" t="s">
        <v>650</v>
      </c>
      <c r="F128">
        <v>1</v>
      </c>
    </row>
    <row r="129" spans="2:6" x14ac:dyDescent="0.25">
      <c r="B129" t="s">
        <v>504</v>
      </c>
      <c r="C129" s="41">
        <v>40191</v>
      </c>
      <c r="D129">
        <v>17</v>
      </c>
      <c r="E129" t="s">
        <v>648</v>
      </c>
      <c r="F129">
        <v>1</v>
      </c>
    </row>
    <row r="130" spans="2:6" x14ac:dyDescent="0.25">
      <c r="B130" t="s">
        <v>581</v>
      </c>
      <c r="C130" s="41">
        <v>36219</v>
      </c>
      <c r="D130">
        <v>28</v>
      </c>
      <c r="E130" t="s">
        <v>650</v>
      </c>
      <c r="F130">
        <v>1</v>
      </c>
    </row>
    <row r="131" spans="2:6" x14ac:dyDescent="0.25">
      <c r="B131" t="s">
        <v>583</v>
      </c>
      <c r="C131" s="41">
        <v>36261</v>
      </c>
      <c r="D131">
        <v>27</v>
      </c>
      <c r="E131" t="s">
        <v>650</v>
      </c>
      <c r="F131">
        <v>1</v>
      </c>
    </row>
    <row r="132" spans="2:6" x14ac:dyDescent="0.25">
      <c r="B132" t="s">
        <v>450</v>
      </c>
      <c r="C132" s="41">
        <v>30207</v>
      </c>
      <c r="D132">
        <v>44</v>
      </c>
      <c r="E132" t="s">
        <v>652</v>
      </c>
      <c r="F132">
        <v>1</v>
      </c>
    </row>
    <row r="133" spans="2:6" x14ac:dyDescent="0.25">
      <c r="B133" t="s">
        <v>280</v>
      </c>
      <c r="C133" s="41">
        <v>39534</v>
      </c>
      <c r="D133">
        <v>19</v>
      </c>
      <c r="E133" t="s">
        <v>654</v>
      </c>
      <c r="F133">
        <v>1</v>
      </c>
    </row>
    <row r="134" spans="2:6" x14ac:dyDescent="0.25">
      <c r="B134" t="s">
        <v>351</v>
      </c>
      <c r="C134" s="41">
        <v>31505</v>
      </c>
      <c r="D134">
        <v>40</v>
      </c>
      <c r="E134" t="s">
        <v>648</v>
      </c>
      <c r="F134">
        <v>1</v>
      </c>
    </row>
    <row r="135" spans="2:6" x14ac:dyDescent="0.25">
      <c r="B135" t="s">
        <v>236</v>
      </c>
      <c r="C135" s="41">
        <v>22737</v>
      </c>
      <c r="D135">
        <v>64</v>
      </c>
      <c r="E135" t="s">
        <v>656</v>
      </c>
      <c r="F135">
        <v>1</v>
      </c>
    </row>
    <row r="136" spans="2:6" x14ac:dyDescent="0.25">
      <c r="B136" t="s">
        <v>353</v>
      </c>
      <c r="C136" s="41">
        <v>31976</v>
      </c>
      <c r="D136">
        <v>39</v>
      </c>
      <c r="E136" t="s">
        <v>648</v>
      </c>
      <c r="F136">
        <v>1</v>
      </c>
    </row>
    <row r="137" spans="2:6" x14ac:dyDescent="0.25">
      <c r="B137" t="s">
        <v>542</v>
      </c>
      <c r="C137" s="41">
        <v>45329</v>
      </c>
      <c r="D137">
        <v>3</v>
      </c>
      <c r="E137" t="s">
        <v>648</v>
      </c>
      <c r="F137">
        <v>1</v>
      </c>
    </row>
    <row r="138" spans="2:6" x14ac:dyDescent="0.25">
      <c r="B138" t="s">
        <v>447</v>
      </c>
      <c r="C138" s="41">
        <v>29684</v>
      </c>
      <c r="D138">
        <v>45</v>
      </c>
      <c r="E138" t="s">
        <v>652</v>
      </c>
      <c r="F138">
        <v>1</v>
      </c>
    </row>
    <row r="139" spans="2:6" x14ac:dyDescent="0.25">
      <c r="B139" t="s">
        <v>365</v>
      </c>
      <c r="C139" s="41">
        <v>38842</v>
      </c>
      <c r="D139">
        <v>20</v>
      </c>
      <c r="E139" t="s">
        <v>650</v>
      </c>
      <c r="F139">
        <v>1</v>
      </c>
    </row>
    <row r="140" spans="2:6" x14ac:dyDescent="0.25">
      <c r="B140" t="s">
        <v>245</v>
      </c>
      <c r="C140" s="41">
        <v>28483</v>
      </c>
      <c r="D140">
        <v>49</v>
      </c>
      <c r="E140" t="s">
        <v>654</v>
      </c>
      <c r="F140">
        <v>1</v>
      </c>
    </row>
    <row r="141" spans="2:6" x14ac:dyDescent="0.25">
      <c r="B141" t="s">
        <v>532</v>
      </c>
      <c r="C141" s="41">
        <v>45152</v>
      </c>
      <c r="D141">
        <v>3</v>
      </c>
      <c r="E141" t="s">
        <v>648</v>
      </c>
      <c r="F141">
        <v>1</v>
      </c>
    </row>
    <row r="142" spans="2:6" x14ac:dyDescent="0.25">
      <c r="B142" t="s">
        <v>460</v>
      </c>
      <c r="C142" s="41">
        <v>31822</v>
      </c>
      <c r="D142">
        <v>40</v>
      </c>
      <c r="E142" t="s">
        <v>652</v>
      </c>
      <c r="F142">
        <v>1</v>
      </c>
    </row>
    <row r="143" spans="2:6" x14ac:dyDescent="0.25">
      <c r="B143" t="s">
        <v>424</v>
      </c>
      <c r="C143" s="41">
        <v>41680</v>
      </c>
      <c r="D143">
        <v>13</v>
      </c>
      <c r="E143" t="s">
        <v>648</v>
      </c>
      <c r="F143">
        <v>1</v>
      </c>
    </row>
    <row r="144" spans="2:6" x14ac:dyDescent="0.25">
      <c r="B144" t="s">
        <v>303</v>
      </c>
      <c r="C144" s="41">
        <v>42552</v>
      </c>
      <c r="D144">
        <v>10</v>
      </c>
      <c r="E144" t="s">
        <v>648</v>
      </c>
      <c r="F144">
        <v>1</v>
      </c>
    </row>
    <row r="145" spans="2:6" x14ac:dyDescent="0.25">
      <c r="B145" t="s">
        <v>506</v>
      </c>
      <c r="C145" s="41">
        <v>40191</v>
      </c>
      <c r="D145">
        <v>17</v>
      </c>
      <c r="E145" t="s">
        <v>648</v>
      </c>
      <c r="F145">
        <v>1</v>
      </c>
    </row>
    <row r="146" spans="2:6" x14ac:dyDescent="0.25">
      <c r="B146" t="s">
        <v>595</v>
      </c>
      <c r="C146" s="41">
        <v>41426</v>
      </c>
      <c r="D146">
        <v>13</v>
      </c>
      <c r="E146" t="s">
        <v>648</v>
      </c>
      <c r="F146">
        <v>1</v>
      </c>
    </row>
    <row r="147" spans="2:6" x14ac:dyDescent="0.25">
      <c r="B147" t="s">
        <v>577</v>
      </c>
      <c r="C147" s="41">
        <v>35947</v>
      </c>
      <c r="D147">
        <v>28</v>
      </c>
      <c r="E147" t="s">
        <v>650</v>
      </c>
      <c r="F147">
        <v>1</v>
      </c>
    </row>
    <row r="148" spans="2:6" x14ac:dyDescent="0.25">
      <c r="B148" t="s">
        <v>416</v>
      </c>
      <c r="C148" s="41">
        <v>36144</v>
      </c>
      <c r="D148">
        <v>28</v>
      </c>
      <c r="E148" t="s">
        <v>648</v>
      </c>
      <c r="F148">
        <v>1</v>
      </c>
    </row>
    <row r="149" spans="2:6" x14ac:dyDescent="0.25">
      <c r="B149" t="s">
        <v>486</v>
      </c>
      <c r="C149" s="41">
        <v>36612</v>
      </c>
      <c r="D149">
        <v>27</v>
      </c>
      <c r="E149" t="s">
        <v>648</v>
      </c>
      <c r="F149">
        <v>1</v>
      </c>
    </row>
    <row r="150" spans="2:6" x14ac:dyDescent="0.25">
      <c r="B150" t="s">
        <v>322</v>
      </c>
      <c r="C150" s="41">
        <v>26163</v>
      </c>
      <c r="D150">
        <v>55</v>
      </c>
      <c r="E150" t="s">
        <v>650</v>
      </c>
      <c r="F150">
        <v>1</v>
      </c>
    </row>
    <row r="151" spans="2:6" x14ac:dyDescent="0.25">
      <c r="B151" t="s">
        <v>418</v>
      </c>
      <c r="C151" s="41">
        <v>38842</v>
      </c>
      <c r="D151">
        <v>20</v>
      </c>
      <c r="E151" t="s">
        <v>648</v>
      </c>
      <c r="F151">
        <v>1</v>
      </c>
    </row>
    <row r="152" spans="2:6" x14ac:dyDescent="0.25">
      <c r="B152" t="s">
        <v>261</v>
      </c>
      <c r="C152" s="41">
        <v>31897</v>
      </c>
      <c r="D152">
        <v>39</v>
      </c>
      <c r="E152" t="s">
        <v>648</v>
      </c>
      <c r="F152">
        <v>1</v>
      </c>
    </row>
    <row r="153" spans="2:6" x14ac:dyDescent="0.25">
      <c r="B153" t="s">
        <v>593</v>
      </c>
      <c r="C153" s="41">
        <v>39028</v>
      </c>
      <c r="D153">
        <v>20</v>
      </c>
      <c r="E153" t="s">
        <v>650</v>
      </c>
      <c r="F153">
        <v>1</v>
      </c>
    </row>
    <row r="154" spans="2:6" x14ac:dyDescent="0.25">
      <c r="B154" t="s">
        <v>290</v>
      </c>
      <c r="C154" s="41">
        <v>41359</v>
      </c>
      <c r="D154">
        <v>14</v>
      </c>
      <c r="E154" t="s">
        <v>648</v>
      </c>
      <c r="F154">
        <v>1</v>
      </c>
    </row>
    <row r="155" spans="2:6" x14ac:dyDescent="0.25">
      <c r="B155" t="s">
        <v>530</v>
      </c>
      <c r="C155" s="41">
        <v>44944</v>
      </c>
      <c r="D155">
        <v>4</v>
      </c>
      <c r="E155" t="s">
        <v>648</v>
      </c>
      <c r="F155">
        <v>1</v>
      </c>
    </row>
    <row r="156" spans="2:6" x14ac:dyDescent="0.25">
      <c r="B156" t="s">
        <v>516</v>
      </c>
      <c r="C156" s="41">
        <v>41426</v>
      </c>
      <c r="D156">
        <v>13</v>
      </c>
      <c r="E156" t="s">
        <v>650</v>
      </c>
      <c r="F156">
        <v>1</v>
      </c>
    </row>
    <row r="157" spans="2:6" x14ac:dyDescent="0.25">
      <c r="B157" t="s">
        <v>414</v>
      </c>
      <c r="C157" s="41">
        <v>33147</v>
      </c>
      <c r="D157">
        <v>36</v>
      </c>
      <c r="E157" t="s">
        <v>650</v>
      </c>
      <c r="F157">
        <v>1</v>
      </c>
    </row>
    <row r="158" spans="2:6" x14ac:dyDescent="0.25">
      <c r="B158" t="s">
        <v>597</v>
      </c>
      <c r="C158" s="41">
        <v>41426</v>
      </c>
      <c r="D158">
        <v>13</v>
      </c>
      <c r="E158" t="s">
        <v>648</v>
      </c>
      <c r="F158">
        <v>1</v>
      </c>
    </row>
    <row r="159" spans="2:6" x14ac:dyDescent="0.25">
      <c r="B159" t="s">
        <v>375</v>
      </c>
      <c r="C159" s="41">
        <v>40856</v>
      </c>
      <c r="D159">
        <v>15</v>
      </c>
      <c r="E159" t="s">
        <v>648</v>
      </c>
      <c r="F159">
        <v>1</v>
      </c>
    </row>
    <row r="160" spans="2:6" x14ac:dyDescent="0.25">
      <c r="B160" t="s">
        <v>253</v>
      </c>
      <c r="C160" s="41">
        <v>31240</v>
      </c>
      <c r="D160">
        <v>41</v>
      </c>
      <c r="E160" t="s">
        <v>648</v>
      </c>
      <c r="F160">
        <v>1</v>
      </c>
    </row>
    <row r="161" spans="2:6" x14ac:dyDescent="0.25">
      <c r="B161" t="s">
        <v>508</v>
      </c>
      <c r="C161" s="41">
        <v>40191</v>
      </c>
      <c r="D161">
        <v>17</v>
      </c>
      <c r="E161" t="s">
        <v>648</v>
      </c>
      <c r="F161">
        <v>1</v>
      </c>
    </row>
    <row r="162" spans="2:6" x14ac:dyDescent="0.25">
      <c r="B162" t="s">
        <v>241</v>
      </c>
      <c r="C162" s="41">
        <v>26163</v>
      </c>
      <c r="D162">
        <v>55</v>
      </c>
      <c r="E162" t="s">
        <v>656</v>
      </c>
      <c r="F162">
        <v>1</v>
      </c>
    </row>
    <row r="163" spans="2:6" x14ac:dyDescent="0.25">
      <c r="B163" t="s">
        <v>270</v>
      </c>
      <c r="C163" s="41">
        <v>38374</v>
      </c>
      <c r="D163">
        <v>22</v>
      </c>
      <c r="E163" t="s">
        <v>656</v>
      </c>
      <c r="F163">
        <v>1</v>
      </c>
    </row>
    <row r="164" spans="2:6" x14ac:dyDescent="0.25">
      <c r="B164" t="s">
        <v>422</v>
      </c>
      <c r="C164" s="41">
        <v>41642</v>
      </c>
      <c r="D164">
        <v>13</v>
      </c>
      <c r="E164" t="s">
        <v>648</v>
      </c>
      <c r="F164">
        <v>1</v>
      </c>
    </row>
    <row r="165" spans="2:6" x14ac:dyDescent="0.25">
      <c r="B165" t="s">
        <v>323</v>
      </c>
      <c r="C165" s="41">
        <v>26163</v>
      </c>
      <c r="D165">
        <v>55</v>
      </c>
      <c r="E165" t="s">
        <v>650</v>
      </c>
      <c r="F165">
        <v>1</v>
      </c>
    </row>
    <row r="166" spans="2:6" x14ac:dyDescent="0.25">
      <c r="B166" t="s">
        <v>334</v>
      </c>
      <c r="C166" s="41">
        <v>29479</v>
      </c>
      <c r="D166">
        <v>46</v>
      </c>
      <c r="E166" t="s">
        <v>648</v>
      </c>
      <c r="F166">
        <v>1</v>
      </c>
    </row>
    <row r="167" spans="2:6" x14ac:dyDescent="0.25">
      <c r="B167" t="s">
        <v>373</v>
      </c>
      <c r="C167" s="41">
        <v>40191</v>
      </c>
      <c r="D167">
        <v>17</v>
      </c>
      <c r="E167" t="s">
        <v>652</v>
      </c>
      <c r="F167">
        <v>1</v>
      </c>
    </row>
    <row r="168" spans="2:6" x14ac:dyDescent="0.25">
      <c r="B168" t="s">
        <v>359</v>
      </c>
      <c r="C168" s="41">
        <v>32662</v>
      </c>
      <c r="D168">
        <v>37</v>
      </c>
      <c r="E168" t="s">
        <v>650</v>
      </c>
      <c r="F168">
        <v>1</v>
      </c>
    </row>
    <row r="169" spans="2:6" x14ac:dyDescent="0.25">
      <c r="B169" t="s">
        <v>544</v>
      </c>
      <c r="C169" s="41">
        <v>45407</v>
      </c>
      <c r="D169">
        <v>2</v>
      </c>
      <c r="E169" t="s">
        <v>648</v>
      </c>
      <c r="F169">
        <v>1</v>
      </c>
    </row>
    <row r="170" spans="2:6" x14ac:dyDescent="0.25">
      <c r="B170" t="s">
        <v>338</v>
      </c>
      <c r="C170" s="41">
        <v>29705</v>
      </c>
      <c r="D170">
        <v>45</v>
      </c>
      <c r="E170" t="s">
        <v>652</v>
      </c>
      <c r="F170">
        <v>1</v>
      </c>
    </row>
    <row r="171" spans="2:6" x14ac:dyDescent="0.25">
      <c r="B171" t="s">
        <v>326</v>
      </c>
      <c r="C171" s="41">
        <v>26323</v>
      </c>
      <c r="D171">
        <v>55</v>
      </c>
      <c r="E171" t="s">
        <v>652</v>
      </c>
      <c r="F171">
        <v>1</v>
      </c>
    </row>
    <row r="172" spans="2:6" x14ac:dyDescent="0.25">
      <c r="B172" t="s">
        <v>361</v>
      </c>
      <c r="C172" s="41">
        <v>33147</v>
      </c>
      <c r="D172">
        <v>36</v>
      </c>
      <c r="E172" t="s">
        <v>648</v>
      </c>
      <c r="F172">
        <v>1</v>
      </c>
    </row>
    <row r="173" spans="2:6" x14ac:dyDescent="0.25">
      <c r="B173" t="s">
        <v>452</v>
      </c>
      <c r="C173" s="41">
        <v>30701</v>
      </c>
      <c r="D173">
        <v>43</v>
      </c>
      <c r="E173" t="s">
        <v>652</v>
      </c>
      <c r="F173">
        <v>1</v>
      </c>
    </row>
    <row r="174" spans="2:6" x14ac:dyDescent="0.25">
      <c r="B174" t="s">
        <v>492</v>
      </c>
      <c r="C174" s="41">
        <v>38191</v>
      </c>
      <c r="D174">
        <v>22</v>
      </c>
      <c r="E174" t="s">
        <v>650</v>
      </c>
      <c r="F174">
        <v>1</v>
      </c>
    </row>
    <row r="175" spans="2:6" x14ac:dyDescent="0.25">
      <c r="B175" t="s">
        <v>282</v>
      </c>
      <c r="C175" s="41">
        <v>40003</v>
      </c>
      <c r="D175">
        <v>17</v>
      </c>
      <c r="E175" t="s">
        <v>650</v>
      </c>
      <c r="F175">
        <v>1</v>
      </c>
    </row>
    <row r="176" spans="2:6" x14ac:dyDescent="0.25">
      <c r="B176" t="s">
        <v>470</v>
      </c>
      <c r="C176" s="41">
        <v>32494</v>
      </c>
      <c r="D176">
        <v>38</v>
      </c>
      <c r="E176" t="s">
        <v>650</v>
      </c>
      <c r="F176">
        <v>1</v>
      </c>
    </row>
    <row r="177" spans="1:6" x14ac:dyDescent="0.25">
      <c r="B177" t="s">
        <v>272</v>
      </c>
      <c r="C177" s="41">
        <v>38374</v>
      </c>
      <c r="D177">
        <v>22</v>
      </c>
      <c r="E177" t="s">
        <v>654</v>
      </c>
      <c r="F177">
        <v>1</v>
      </c>
    </row>
    <row r="178" spans="1:6" x14ac:dyDescent="0.25">
      <c r="B178" t="s">
        <v>355</v>
      </c>
      <c r="C178" s="41">
        <v>32002</v>
      </c>
      <c r="D178">
        <v>39</v>
      </c>
      <c r="E178" t="s">
        <v>648</v>
      </c>
      <c r="F178">
        <v>1</v>
      </c>
    </row>
    <row r="179" spans="1:6" x14ac:dyDescent="0.25">
      <c r="B179" t="s">
        <v>324</v>
      </c>
      <c r="C179" s="41">
        <v>26163</v>
      </c>
      <c r="D179">
        <v>55</v>
      </c>
      <c r="E179" t="s">
        <v>652</v>
      </c>
      <c r="F179">
        <v>1</v>
      </c>
    </row>
    <row r="180" spans="1:6" x14ac:dyDescent="0.25">
      <c r="B180" t="s">
        <v>330</v>
      </c>
      <c r="C180" s="41">
        <v>28238</v>
      </c>
      <c r="D180">
        <v>49</v>
      </c>
      <c r="E180" t="s">
        <v>652</v>
      </c>
      <c r="F180">
        <v>1</v>
      </c>
    </row>
    <row r="181" spans="1:6" x14ac:dyDescent="0.25">
      <c r="B181" t="s">
        <v>397</v>
      </c>
      <c r="C181" s="41">
        <v>45518</v>
      </c>
      <c r="D181">
        <v>2</v>
      </c>
      <c r="E181" t="s">
        <v>648</v>
      </c>
      <c r="F181">
        <v>1</v>
      </c>
    </row>
    <row r="182" spans="1:6" x14ac:dyDescent="0.25">
      <c r="B182" t="s">
        <v>381</v>
      </c>
      <c r="C182" s="41">
        <v>41642</v>
      </c>
      <c r="D182">
        <v>13</v>
      </c>
      <c r="E182" t="s">
        <v>648</v>
      </c>
      <c r="F182">
        <v>1</v>
      </c>
    </row>
    <row r="183" spans="1:6" x14ac:dyDescent="0.25">
      <c r="B183" t="s">
        <v>393</v>
      </c>
      <c r="C183" s="41">
        <v>42230</v>
      </c>
      <c r="D183">
        <v>11</v>
      </c>
      <c r="E183" t="s">
        <v>650</v>
      </c>
      <c r="F183">
        <v>1</v>
      </c>
    </row>
    <row r="184" spans="1:6" x14ac:dyDescent="0.25">
      <c r="B184" t="s">
        <v>567</v>
      </c>
      <c r="C184" s="41">
        <v>31897</v>
      </c>
      <c r="D184">
        <v>39</v>
      </c>
      <c r="E184" t="s">
        <v>648</v>
      </c>
      <c r="F184">
        <v>1</v>
      </c>
    </row>
    <row r="185" spans="1:6" x14ac:dyDescent="0.25">
      <c r="A185" t="s">
        <v>684</v>
      </c>
      <c r="F185">
        <v>181</v>
      </c>
    </row>
    <row r="186" spans="1:6" x14ac:dyDescent="0.25">
      <c r="A186" t="s">
        <v>683</v>
      </c>
      <c r="B186" t="s">
        <v>488</v>
      </c>
      <c r="C186" s="41">
        <v>37012</v>
      </c>
      <c r="D186">
        <v>25</v>
      </c>
      <c r="E186" t="s">
        <v>650</v>
      </c>
      <c r="F186">
        <v>1</v>
      </c>
    </row>
    <row r="187" spans="1:6" x14ac:dyDescent="0.25">
      <c r="B187" t="s">
        <v>263</v>
      </c>
      <c r="C187" s="41">
        <v>37326</v>
      </c>
      <c r="D187">
        <v>25</v>
      </c>
      <c r="E187" t="s">
        <v>650</v>
      </c>
      <c r="F187">
        <v>1</v>
      </c>
    </row>
    <row r="188" spans="1:6" x14ac:dyDescent="0.25">
      <c r="B188" t="s">
        <v>439</v>
      </c>
      <c r="C188" s="41">
        <v>28019</v>
      </c>
      <c r="D188">
        <v>50</v>
      </c>
      <c r="E188" t="s">
        <v>654</v>
      </c>
      <c r="F188">
        <v>1</v>
      </c>
    </row>
    <row r="189" spans="1:6" x14ac:dyDescent="0.25">
      <c r="B189" t="s">
        <v>589</v>
      </c>
      <c r="C189" s="41">
        <v>37012</v>
      </c>
      <c r="D189">
        <v>25</v>
      </c>
      <c r="E189" t="s">
        <v>650</v>
      </c>
      <c r="F189">
        <v>1</v>
      </c>
    </row>
    <row r="190" spans="1:6" x14ac:dyDescent="0.25">
      <c r="B190" t="s">
        <v>363</v>
      </c>
      <c r="C190" s="41">
        <v>37012</v>
      </c>
      <c r="D190">
        <v>25</v>
      </c>
      <c r="E190" t="s">
        <v>650</v>
      </c>
      <c r="F190">
        <v>1</v>
      </c>
    </row>
    <row r="191" spans="1:6" x14ac:dyDescent="0.25">
      <c r="A191" t="s">
        <v>685</v>
      </c>
      <c r="F191">
        <v>5</v>
      </c>
    </row>
    <row r="192" spans="1:6" x14ac:dyDescent="0.25">
      <c r="A192" t="s">
        <v>635</v>
      </c>
      <c r="F192">
        <v>186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AFC1-A392-4DCF-9C30-45D89A3BB424}">
  <sheetPr>
    <tabColor theme="3" tint="0.249977111117893"/>
  </sheetPr>
  <dimension ref="A1:S187"/>
  <sheetViews>
    <sheetView topLeftCell="B1" workbookViewId="0">
      <selection activeCell="A20" sqref="A20:G26"/>
    </sheetView>
  </sheetViews>
  <sheetFormatPr defaultRowHeight="15" x14ac:dyDescent="0.25"/>
  <cols>
    <col min="1" max="1" width="7.140625" bestFit="1" customWidth="1"/>
    <col min="2" max="2" width="9.28515625" customWidth="1"/>
    <col min="3" max="3" width="19.28515625" bestFit="1" customWidth="1"/>
    <col min="4" max="4" width="49.42578125" bestFit="1" customWidth="1"/>
    <col min="5" max="5" width="12.85546875" bestFit="1" customWidth="1"/>
    <col min="6" max="6" width="13.140625" customWidth="1"/>
    <col min="7" max="7" width="20" bestFit="1" customWidth="1"/>
    <col min="8" max="8" width="13.42578125" customWidth="1"/>
    <col min="9" max="9" width="17.7109375" bestFit="1" customWidth="1"/>
    <col min="10" max="10" width="14.85546875" customWidth="1"/>
    <col min="12" max="12" width="20.85546875" customWidth="1"/>
    <col min="13" max="13" width="15.7109375" customWidth="1"/>
    <col min="15" max="18" width="15.7109375" customWidth="1"/>
  </cols>
  <sheetData>
    <row r="1" spans="1:19" ht="42.75" x14ac:dyDescent="0.25">
      <c r="A1" s="47" t="s">
        <v>226</v>
      </c>
      <c r="B1" s="48" t="s">
        <v>674</v>
      </c>
      <c r="C1" s="48" t="s">
        <v>227</v>
      </c>
      <c r="D1" s="48" t="s">
        <v>675</v>
      </c>
      <c r="E1" s="47" t="s">
        <v>228</v>
      </c>
      <c r="F1" s="44" t="s">
        <v>676</v>
      </c>
      <c r="G1" s="48" t="s">
        <v>229</v>
      </c>
      <c r="H1" s="44" t="s">
        <v>230</v>
      </c>
      <c r="I1" s="44" t="s">
        <v>231</v>
      </c>
      <c r="J1" s="44" t="s">
        <v>677</v>
      </c>
      <c r="K1" s="44" t="s">
        <v>666</v>
      </c>
      <c r="L1" s="44" t="s">
        <v>678</v>
      </c>
      <c r="M1" s="45" t="s">
        <v>658</v>
      </c>
      <c r="N1" s="44" t="s">
        <v>667</v>
      </c>
      <c r="O1" s="49" t="s">
        <v>680</v>
      </c>
      <c r="P1" s="49" t="s">
        <v>681</v>
      </c>
      <c r="S1" s="2" t="s">
        <v>609</v>
      </c>
    </row>
    <row r="2" spans="1:19" ht="28.5" x14ac:dyDescent="0.25">
      <c r="A2" s="21">
        <f t="shared" ref="A2:A65" si="0">ROW()-1</f>
        <v>1</v>
      </c>
      <c r="B2" s="22">
        <f>COUNTIF($C$2:C2,C2)</f>
        <v>1</v>
      </c>
      <c r="C2" s="23" t="s">
        <v>232</v>
      </c>
      <c r="D2" s="24" t="s">
        <v>233</v>
      </c>
      <c r="E2" s="25" t="s">
        <v>234</v>
      </c>
      <c r="F2" s="26">
        <v>22737</v>
      </c>
      <c r="G2" s="24" t="s">
        <v>235</v>
      </c>
      <c r="H2" s="26">
        <v>22724</v>
      </c>
      <c r="I2" s="27" t="s">
        <v>180</v>
      </c>
      <c r="J2" s="28" t="s">
        <v>233</v>
      </c>
      <c r="K2" s="28">
        <f>DATEDIF(F2,DATE(2027,3,31),"Y")</f>
        <v>64</v>
      </c>
      <c r="L2" s="28" t="str">
        <f>"Greater Than "&amp;FLOOR(K2,25)</f>
        <v>Greater Than 50</v>
      </c>
      <c r="M2" s="46" t="s">
        <v>656</v>
      </c>
      <c r="N2" s="28"/>
      <c r="O2">
        <f>K2/25</f>
        <v>2.56</v>
      </c>
      <c r="P2" t="b">
        <f>MOD(O2,1)=0</f>
        <v>0</v>
      </c>
    </row>
    <row r="3" spans="1:19" ht="28.5" x14ac:dyDescent="0.25">
      <c r="A3" s="29">
        <f t="shared" si="0"/>
        <v>2</v>
      </c>
      <c r="B3" s="30">
        <f>COUNTIF($C$2:C3,C3)</f>
        <v>2</v>
      </c>
      <c r="C3" s="31" t="s">
        <v>232</v>
      </c>
      <c r="D3" s="31" t="s">
        <v>236</v>
      </c>
      <c r="E3" s="32" t="s">
        <v>234</v>
      </c>
      <c r="F3" s="33">
        <v>22737</v>
      </c>
      <c r="G3" s="31" t="s">
        <v>237</v>
      </c>
      <c r="H3" s="33">
        <v>22724</v>
      </c>
      <c r="I3" s="29" t="s">
        <v>178</v>
      </c>
      <c r="J3" s="28" t="s">
        <v>236</v>
      </c>
      <c r="K3" s="28">
        <f t="shared" ref="K3:K66" si="1">DATEDIF(F3,DATE(2027,3,31),"Y")</f>
        <v>64</v>
      </c>
      <c r="L3" s="28" t="str">
        <f t="shared" ref="L3:L66" si="2">"Greater Than "&amp;FLOOR(K3,25)</f>
        <v>Greater Than 50</v>
      </c>
      <c r="M3" s="46" t="s">
        <v>656</v>
      </c>
      <c r="N3" s="28"/>
      <c r="O3">
        <f t="shared" ref="O3:O66" si="3">K3/25</f>
        <v>2.56</v>
      </c>
      <c r="P3" t="b">
        <f t="shared" ref="P3:P66" si="4">MOD(O3,1)=0</f>
        <v>0</v>
      </c>
    </row>
    <row r="4" spans="1:19" x14ac:dyDescent="0.25">
      <c r="A4" s="29">
        <f t="shared" si="0"/>
        <v>3</v>
      </c>
      <c r="B4" s="30">
        <f>COUNTIF($C$2:C4,C4)</f>
        <v>3</v>
      </c>
      <c r="C4" s="31" t="s">
        <v>232</v>
      </c>
      <c r="D4" s="31" t="s">
        <v>238</v>
      </c>
      <c r="E4" s="31" t="s">
        <v>239</v>
      </c>
      <c r="F4" s="33">
        <v>24781</v>
      </c>
      <c r="G4" s="31" t="s">
        <v>240</v>
      </c>
      <c r="H4" s="33">
        <v>24807</v>
      </c>
      <c r="I4" s="29" t="s">
        <v>180</v>
      </c>
      <c r="J4" s="28" t="s">
        <v>610</v>
      </c>
      <c r="K4" s="28">
        <f t="shared" si="1"/>
        <v>59</v>
      </c>
      <c r="L4" s="28" t="str">
        <f t="shared" si="2"/>
        <v>Greater Than 50</v>
      </c>
      <c r="M4" s="46" t="s">
        <v>654</v>
      </c>
      <c r="N4" s="28"/>
      <c r="O4">
        <f t="shared" si="3"/>
        <v>2.36</v>
      </c>
      <c r="P4" t="b">
        <f t="shared" si="4"/>
        <v>0</v>
      </c>
    </row>
    <row r="5" spans="1:19" x14ac:dyDescent="0.25">
      <c r="A5" s="29">
        <f t="shared" si="0"/>
        <v>4</v>
      </c>
      <c r="B5" s="30">
        <f>COUNTIF($C$2:C5,C5)</f>
        <v>4</v>
      </c>
      <c r="C5" s="31" t="s">
        <v>232</v>
      </c>
      <c r="D5" s="31" t="s">
        <v>241</v>
      </c>
      <c r="E5" s="31" t="s">
        <v>239</v>
      </c>
      <c r="F5" s="33">
        <v>26163</v>
      </c>
      <c r="G5" s="31" t="s">
        <v>242</v>
      </c>
      <c r="H5" s="33">
        <v>26163</v>
      </c>
      <c r="I5" s="29" t="s">
        <v>180</v>
      </c>
      <c r="J5" s="28" t="s">
        <v>241</v>
      </c>
      <c r="K5" s="28">
        <f t="shared" si="1"/>
        <v>55</v>
      </c>
      <c r="L5" s="28" t="str">
        <f t="shared" si="2"/>
        <v>Greater Than 50</v>
      </c>
      <c r="M5" s="46" t="s">
        <v>656</v>
      </c>
      <c r="N5" s="28"/>
      <c r="O5">
        <f t="shared" si="3"/>
        <v>2.2000000000000002</v>
      </c>
      <c r="P5" t="b">
        <f t="shared" si="4"/>
        <v>0</v>
      </c>
    </row>
    <row r="6" spans="1:19" x14ac:dyDescent="0.25">
      <c r="A6" s="29">
        <f t="shared" si="0"/>
        <v>5</v>
      </c>
      <c r="B6" s="30">
        <f>COUNTIF($C$2:C6,C6)</f>
        <v>5</v>
      </c>
      <c r="C6" s="31" t="s">
        <v>232</v>
      </c>
      <c r="D6" s="31" t="s">
        <v>243</v>
      </c>
      <c r="E6" s="31" t="s">
        <v>239</v>
      </c>
      <c r="F6" s="33">
        <v>27164</v>
      </c>
      <c r="G6" s="31" t="s">
        <v>244</v>
      </c>
      <c r="H6" s="33">
        <v>27164</v>
      </c>
      <c r="I6" s="29" t="s">
        <v>191</v>
      </c>
      <c r="J6" s="28" t="s">
        <v>243</v>
      </c>
      <c r="K6" s="28">
        <f t="shared" si="1"/>
        <v>52</v>
      </c>
      <c r="L6" s="28" t="str">
        <f t="shared" si="2"/>
        <v>Greater Than 50</v>
      </c>
      <c r="M6" s="46" t="s">
        <v>650</v>
      </c>
      <c r="N6" s="28"/>
      <c r="O6">
        <f t="shared" si="3"/>
        <v>2.08</v>
      </c>
      <c r="P6" t="b">
        <f t="shared" si="4"/>
        <v>0</v>
      </c>
    </row>
    <row r="7" spans="1:19" x14ac:dyDescent="0.25">
      <c r="A7" s="29">
        <f t="shared" si="0"/>
        <v>6</v>
      </c>
      <c r="B7" s="30">
        <f>COUNTIF($C$2:C7,C7)</f>
        <v>6</v>
      </c>
      <c r="C7" s="31" t="s">
        <v>232</v>
      </c>
      <c r="D7" s="31" t="s">
        <v>245</v>
      </c>
      <c r="E7" s="31" t="s">
        <v>239</v>
      </c>
      <c r="F7" s="33">
        <v>28483</v>
      </c>
      <c r="G7" s="31" t="s">
        <v>246</v>
      </c>
      <c r="H7" s="33">
        <v>28509</v>
      </c>
      <c r="I7" s="29" t="s">
        <v>180</v>
      </c>
      <c r="J7" s="28" t="s">
        <v>245</v>
      </c>
      <c r="K7" s="28">
        <f t="shared" si="1"/>
        <v>49</v>
      </c>
      <c r="L7" s="28" t="str">
        <f t="shared" si="2"/>
        <v>Greater Than 25</v>
      </c>
      <c r="M7" s="46" t="s">
        <v>654</v>
      </c>
      <c r="N7" s="28"/>
      <c r="O7">
        <f t="shared" si="3"/>
        <v>1.96</v>
      </c>
      <c r="P7" t="b">
        <f t="shared" si="4"/>
        <v>0</v>
      </c>
    </row>
    <row r="8" spans="1:19" x14ac:dyDescent="0.25">
      <c r="A8" s="29">
        <f t="shared" si="0"/>
        <v>7</v>
      </c>
      <c r="B8" s="30">
        <f>COUNTIF($C$2:C8,C8)</f>
        <v>7</v>
      </c>
      <c r="C8" s="31" t="s">
        <v>232</v>
      </c>
      <c r="D8" s="31" t="s">
        <v>247</v>
      </c>
      <c r="E8" s="31" t="s">
        <v>239</v>
      </c>
      <c r="F8" s="33">
        <v>28601</v>
      </c>
      <c r="G8" s="31" t="s">
        <v>248</v>
      </c>
      <c r="H8" s="33">
        <v>28646</v>
      </c>
      <c r="I8" s="29" t="s">
        <v>178</v>
      </c>
      <c r="J8" s="28" t="s">
        <v>247</v>
      </c>
      <c r="K8" s="28">
        <f t="shared" si="1"/>
        <v>48</v>
      </c>
      <c r="L8" s="28" t="str">
        <f t="shared" si="2"/>
        <v>Greater Than 25</v>
      </c>
      <c r="M8" s="46" t="s">
        <v>654</v>
      </c>
      <c r="N8" s="28"/>
      <c r="O8">
        <f t="shared" si="3"/>
        <v>1.92</v>
      </c>
      <c r="P8" t="b">
        <f t="shared" si="4"/>
        <v>0</v>
      </c>
    </row>
    <row r="9" spans="1:19" x14ac:dyDescent="0.25">
      <c r="A9" s="29">
        <f t="shared" si="0"/>
        <v>8</v>
      </c>
      <c r="B9" s="30">
        <f>COUNTIF($C$2:C9,C9)</f>
        <v>8</v>
      </c>
      <c r="C9" s="31" t="s">
        <v>232</v>
      </c>
      <c r="D9" s="31" t="s">
        <v>249</v>
      </c>
      <c r="E9" s="31" t="s">
        <v>239</v>
      </c>
      <c r="F9" s="33">
        <v>29788</v>
      </c>
      <c r="G9" s="31" t="s">
        <v>250</v>
      </c>
      <c r="H9" s="33">
        <v>29795</v>
      </c>
      <c r="I9" s="29" t="s">
        <v>178</v>
      </c>
      <c r="J9" s="28" t="s">
        <v>249</v>
      </c>
      <c r="K9" s="28">
        <f t="shared" si="1"/>
        <v>45</v>
      </c>
      <c r="L9" s="28" t="str">
        <f t="shared" si="2"/>
        <v>Greater Than 25</v>
      </c>
      <c r="M9" s="46" t="s">
        <v>650</v>
      </c>
      <c r="N9" s="28"/>
      <c r="O9">
        <f t="shared" si="3"/>
        <v>1.8</v>
      </c>
      <c r="P9" t="b">
        <f t="shared" si="4"/>
        <v>0</v>
      </c>
    </row>
    <row r="10" spans="1:19" x14ac:dyDescent="0.25">
      <c r="A10" s="29">
        <f t="shared" si="0"/>
        <v>9</v>
      </c>
      <c r="B10" s="30">
        <f>COUNTIF($C$2:C10,C10)</f>
        <v>9</v>
      </c>
      <c r="C10" s="31" t="s">
        <v>232</v>
      </c>
      <c r="D10" s="31" t="s">
        <v>251</v>
      </c>
      <c r="E10" s="31" t="s">
        <v>239</v>
      </c>
      <c r="F10" s="33">
        <v>29788</v>
      </c>
      <c r="G10" s="31" t="s">
        <v>252</v>
      </c>
      <c r="H10" s="33">
        <v>29795</v>
      </c>
      <c r="I10" s="29" t="s">
        <v>178</v>
      </c>
      <c r="J10" s="28" t="s">
        <v>251</v>
      </c>
      <c r="K10" s="28">
        <f t="shared" si="1"/>
        <v>45</v>
      </c>
      <c r="L10" s="28" t="str">
        <f t="shared" si="2"/>
        <v>Greater Than 25</v>
      </c>
      <c r="M10" s="46" t="s">
        <v>652</v>
      </c>
      <c r="N10" s="28"/>
      <c r="O10">
        <f t="shared" si="3"/>
        <v>1.8</v>
      </c>
      <c r="P10" t="b">
        <f t="shared" si="4"/>
        <v>0</v>
      </c>
    </row>
    <row r="11" spans="1:19" x14ac:dyDescent="0.25">
      <c r="A11" s="29">
        <f t="shared" si="0"/>
        <v>10</v>
      </c>
      <c r="B11" s="30">
        <f>COUNTIF($C$2:C11,C11)</f>
        <v>10</v>
      </c>
      <c r="C11" s="31" t="s">
        <v>232</v>
      </c>
      <c r="D11" s="31" t="s">
        <v>253</v>
      </c>
      <c r="E11" s="31" t="s">
        <v>239</v>
      </c>
      <c r="F11" s="33">
        <v>31240</v>
      </c>
      <c r="G11" s="31" t="s">
        <v>254</v>
      </c>
      <c r="H11" s="33">
        <v>31264</v>
      </c>
      <c r="I11" s="29" t="s">
        <v>178</v>
      </c>
      <c r="J11" s="28" t="s">
        <v>253</v>
      </c>
      <c r="K11" s="28">
        <f t="shared" si="1"/>
        <v>41</v>
      </c>
      <c r="L11" s="28" t="str">
        <f t="shared" si="2"/>
        <v>Greater Than 25</v>
      </c>
      <c r="M11" s="46" t="s">
        <v>648</v>
      </c>
      <c r="N11" s="28"/>
      <c r="O11">
        <f t="shared" si="3"/>
        <v>1.64</v>
      </c>
      <c r="P11" t="b">
        <f t="shared" si="4"/>
        <v>0</v>
      </c>
    </row>
    <row r="12" spans="1:19" x14ac:dyDescent="0.25">
      <c r="A12" s="29">
        <f t="shared" si="0"/>
        <v>11</v>
      </c>
      <c r="B12" s="30">
        <f>COUNTIF($C$2:C12,C12)</f>
        <v>11</v>
      </c>
      <c r="C12" s="31" t="s">
        <v>232</v>
      </c>
      <c r="D12" s="31" t="s">
        <v>255</v>
      </c>
      <c r="E12" s="31" t="s">
        <v>239</v>
      </c>
      <c r="F12" s="33">
        <v>31402</v>
      </c>
      <c r="G12" s="31" t="s">
        <v>256</v>
      </c>
      <c r="H12" s="33">
        <v>31432</v>
      </c>
      <c r="I12" s="29" t="s">
        <v>178</v>
      </c>
      <c r="J12" s="28" t="s">
        <v>611</v>
      </c>
      <c r="K12" s="28">
        <f t="shared" si="1"/>
        <v>41</v>
      </c>
      <c r="L12" s="28" t="str">
        <f t="shared" si="2"/>
        <v>Greater Than 25</v>
      </c>
      <c r="M12" s="46" t="s">
        <v>652</v>
      </c>
      <c r="N12" s="28"/>
      <c r="O12">
        <f t="shared" si="3"/>
        <v>1.64</v>
      </c>
      <c r="P12" t="b">
        <f t="shared" si="4"/>
        <v>0</v>
      </c>
    </row>
    <row r="13" spans="1:19" x14ac:dyDescent="0.25">
      <c r="A13" s="29">
        <f t="shared" si="0"/>
        <v>12</v>
      </c>
      <c r="B13" s="30">
        <f>COUNTIF($C$2:C13,C13)</f>
        <v>12</v>
      </c>
      <c r="C13" s="31" t="s">
        <v>232</v>
      </c>
      <c r="D13" s="31" t="s">
        <v>257</v>
      </c>
      <c r="E13" s="31" t="s">
        <v>239</v>
      </c>
      <c r="F13" s="33">
        <v>31505</v>
      </c>
      <c r="G13" s="31" t="s">
        <v>258</v>
      </c>
      <c r="H13" s="33">
        <v>31530</v>
      </c>
      <c r="I13" s="29" t="s">
        <v>180</v>
      </c>
      <c r="J13" s="28" t="s">
        <v>257</v>
      </c>
      <c r="K13" s="28">
        <f t="shared" si="1"/>
        <v>40</v>
      </c>
      <c r="L13" s="28" t="str">
        <f t="shared" si="2"/>
        <v>Greater Than 25</v>
      </c>
      <c r="M13" s="46" t="s">
        <v>648</v>
      </c>
      <c r="N13" s="28"/>
      <c r="O13">
        <f t="shared" si="3"/>
        <v>1.6</v>
      </c>
      <c r="P13" t="b">
        <f t="shared" si="4"/>
        <v>0</v>
      </c>
    </row>
    <row r="14" spans="1:19" x14ac:dyDescent="0.25">
      <c r="A14" s="29">
        <f t="shared" si="0"/>
        <v>13</v>
      </c>
      <c r="B14" s="30">
        <f>COUNTIF($C$2:C14,C14)</f>
        <v>13</v>
      </c>
      <c r="C14" s="31" t="s">
        <v>232</v>
      </c>
      <c r="D14" s="31" t="s">
        <v>259</v>
      </c>
      <c r="E14" s="31" t="s">
        <v>239</v>
      </c>
      <c r="F14" s="33">
        <v>31897</v>
      </c>
      <c r="G14" s="31" t="s">
        <v>260</v>
      </c>
      <c r="H14" s="33">
        <v>31918</v>
      </c>
      <c r="I14" s="29" t="s">
        <v>178</v>
      </c>
      <c r="J14" s="28" t="s">
        <v>259</v>
      </c>
      <c r="K14" s="28">
        <f t="shared" si="1"/>
        <v>39</v>
      </c>
      <c r="L14" s="28" t="str">
        <f t="shared" si="2"/>
        <v>Greater Than 25</v>
      </c>
      <c r="M14" s="46" t="s">
        <v>650</v>
      </c>
      <c r="N14" s="28"/>
      <c r="O14">
        <f t="shared" si="3"/>
        <v>1.56</v>
      </c>
      <c r="P14" t="b">
        <f t="shared" si="4"/>
        <v>0</v>
      </c>
    </row>
    <row r="15" spans="1:19" x14ac:dyDescent="0.25">
      <c r="A15" s="29">
        <f t="shared" si="0"/>
        <v>14</v>
      </c>
      <c r="B15" s="30">
        <f>COUNTIF($C$2:C15,C15)</f>
        <v>14</v>
      </c>
      <c r="C15" s="31" t="s">
        <v>232</v>
      </c>
      <c r="D15" s="31" t="s">
        <v>261</v>
      </c>
      <c r="E15" s="31" t="s">
        <v>239</v>
      </c>
      <c r="F15" s="33">
        <v>31897</v>
      </c>
      <c r="G15" s="31" t="s">
        <v>262</v>
      </c>
      <c r="H15" s="33">
        <v>31918</v>
      </c>
      <c r="I15" s="29" t="s">
        <v>178</v>
      </c>
      <c r="J15" s="28" t="s">
        <v>205</v>
      </c>
      <c r="K15" s="28">
        <f t="shared" si="1"/>
        <v>39</v>
      </c>
      <c r="L15" s="28" t="str">
        <f t="shared" si="2"/>
        <v>Greater Than 25</v>
      </c>
      <c r="M15" s="46" t="s">
        <v>648</v>
      </c>
      <c r="N15" s="28"/>
      <c r="O15">
        <f t="shared" si="3"/>
        <v>1.56</v>
      </c>
      <c r="P15" t="b">
        <f t="shared" si="4"/>
        <v>0</v>
      </c>
    </row>
    <row r="16" spans="1:19" x14ac:dyDescent="0.25">
      <c r="A16" s="29">
        <f t="shared" si="0"/>
        <v>15</v>
      </c>
      <c r="B16" s="30">
        <f>COUNTIF($C$2:C16,C16)</f>
        <v>15</v>
      </c>
      <c r="C16" s="31" t="s">
        <v>232</v>
      </c>
      <c r="D16" s="31" t="s">
        <v>263</v>
      </c>
      <c r="E16" s="31" t="s">
        <v>264</v>
      </c>
      <c r="F16" s="33">
        <v>37326</v>
      </c>
      <c r="G16" s="31" t="s">
        <v>265</v>
      </c>
      <c r="H16" s="33">
        <v>37350</v>
      </c>
      <c r="I16" s="29" t="s">
        <v>180</v>
      </c>
      <c r="J16" s="28" t="s">
        <v>263</v>
      </c>
      <c r="K16" s="28">
        <f t="shared" si="1"/>
        <v>25</v>
      </c>
      <c r="L16" s="28" t="str">
        <f t="shared" si="2"/>
        <v>Greater Than 25</v>
      </c>
      <c r="M16" s="46" t="s">
        <v>650</v>
      </c>
      <c r="N16" s="28"/>
      <c r="O16">
        <f t="shared" si="3"/>
        <v>1</v>
      </c>
      <c r="P16" s="2" t="b">
        <f t="shared" si="4"/>
        <v>1</v>
      </c>
    </row>
    <row r="17" spans="1:16" x14ac:dyDescent="0.25">
      <c r="A17" s="29">
        <f t="shared" si="0"/>
        <v>16</v>
      </c>
      <c r="B17" s="30">
        <f>COUNTIF($C$2:C17,C17)</f>
        <v>16</v>
      </c>
      <c r="C17" s="31" t="s">
        <v>232</v>
      </c>
      <c r="D17" s="31" t="s">
        <v>266</v>
      </c>
      <c r="E17" s="31" t="s">
        <v>264</v>
      </c>
      <c r="F17" s="33">
        <v>37513</v>
      </c>
      <c r="G17" s="31" t="s">
        <v>267</v>
      </c>
      <c r="H17" s="33">
        <v>37558</v>
      </c>
      <c r="I17" s="34" t="s">
        <v>178</v>
      </c>
      <c r="J17" s="28" t="s">
        <v>612</v>
      </c>
      <c r="K17" s="28">
        <f t="shared" si="1"/>
        <v>24</v>
      </c>
      <c r="L17" s="28" t="str">
        <f t="shared" si="2"/>
        <v>Greater Than 0</v>
      </c>
      <c r="M17" s="46" t="s">
        <v>650</v>
      </c>
      <c r="N17" s="28"/>
      <c r="O17">
        <f t="shared" si="3"/>
        <v>0.96</v>
      </c>
      <c r="P17" t="b">
        <f t="shared" si="4"/>
        <v>0</v>
      </c>
    </row>
    <row r="18" spans="1:16" x14ac:dyDescent="0.25">
      <c r="A18" s="29">
        <f t="shared" si="0"/>
        <v>17</v>
      </c>
      <c r="B18" s="30">
        <f>COUNTIF($C$2:C18,C18)</f>
        <v>17</v>
      </c>
      <c r="C18" s="31" t="s">
        <v>232</v>
      </c>
      <c r="D18" s="31" t="s">
        <v>268</v>
      </c>
      <c r="E18" s="31" t="s">
        <v>264</v>
      </c>
      <c r="F18" s="33">
        <v>37882</v>
      </c>
      <c r="G18" s="31" t="s">
        <v>269</v>
      </c>
      <c r="H18" s="33">
        <v>37897</v>
      </c>
      <c r="I18" s="34" t="s">
        <v>178</v>
      </c>
      <c r="J18" s="28" t="s">
        <v>268</v>
      </c>
      <c r="K18" s="28">
        <f t="shared" si="1"/>
        <v>23</v>
      </c>
      <c r="L18" s="28" t="str">
        <f t="shared" si="2"/>
        <v>Greater Than 0</v>
      </c>
      <c r="M18" s="46" t="s">
        <v>650</v>
      </c>
      <c r="N18" s="28"/>
      <c r="O18">
        <f t="shared" si="3"/>
        <v>0.92</v>
      </c>
      <c r="P18" t="b">
        <f t="shared" si="4"/>
        <v>0</v>
      </c>
    </row>
    <row r="19" spans="1:16" x14ac:dyDescent="0.25">
      <c r="A19" s="29">
        <f t="shared" si="0"/>
        <v>18</v>
      </c>
      <c r="B19" s="30">
        <f>COUNTIF($C$2:C19,C19)</f>
        <v>18</v>
      </c>
      <c r="C19" s="31" t="s">
        <v>232</v>
      </c>
      <c r="D19" s="31" t="s">
        <v>270</v>
      </c>
      <c r="E19" s="31" t="s">
        <v>264</v>
      </c>
      <c r="F19" s="33">
        <v>38374</v>
      </c>
      <c r="G19" s="31" t="s">
        <v>271</v>
      </c>
      <c r="H19" s="33">
        <v>38470</v>
      </c>
      <c r="I19" s="29" t="s">
        <v>178</v>
      </c>
      <c r="J19" s="28" t="s">
        <v>270</v>
      </c>
      <c r="K19" s="28">
        <f t="shared" si="1"/>
        <v>22</v>
      </c>
      <c r="L19" s="28" t="str">
        <f t="shared" si="2"/>
        <v>Greater Than 0</v>
      </c>
      <c r="M19" s="46" t="s">
        <v>656</v>
      </c>
      <c r="N19" s="28"/>
      <c r="O19">
        <f t="shared" si="3"/>
        <v>0.88</v>
      </c>
      <c r="P19" t="b">
        <f t="shared" si="4"/>
        <v>0</v>
      </c>
    </row>
    <row r="20" spans="1:16" x14ac:dyDescent="0.25">
      <c r="A20" s="29">
        <f t="shared" si="0"/>
        <v>19</v>
      </c>
      <c r="B20" s="30">
        <f>COUNTIF($C$2:C20,C20)</f>
        <v>19</v>
      </c>
      <c r="C20" s="31" t="s">
        <v>232</v>
      </c>
      <c r="D20" s="31" t="s">
        <v>272</v>
      </c>
      <c r="E20" s="31" t="s">
        <v>264</v>
      </c>
      <c r="F20" s="33">
        <v>38374</v>
      </c>
      <c r="G20" s="31" t="s">
        <v>273</v>
      </c>
      <c r="H20" s="33">
        <v>38470</v>
      </c>
      <c r="I20" s="29" t="s">
        <v>178</v>
      </c>
      <c r="J20" s="28" t="s">
        <v>272</v>
      </c>
      <c r="K20" s="28">
        <f t="shared" si="1"/>
        <v>22</v>
      </c>
      <c r="L20" s="28" t="str">
        <f t="shared" si="2"/>
        <v>Greater Than 0</v>
      </c>
      <c r="M20" s="46" t="s">
        <v>654</v>
      </c>
      <c r="N20" s="28"/>
      <c r="O20">
        <f t="shared" si="3"/>
        <v>0.88</v>
      </c>
      <c r="P20" t="b">
        <f t="shared" si="4"/>
        <v>0</v>
      </c>
    </row>
    <row r="21" spans="1:16" x14ac:dyDescent="0.25">
      <c r="A21" s="29">
        <f t="shared" si="0"/>
        <v>20</v>
      </c>
      <c r="B21" s="30">
        <f>COUNTIF($C$2:C21,C21)</f>
        <v>20</v>
      </c>
      <c r="C21" s="31" t="s">
        <v>232</v>
      </c>
      <c r="D21" s="31" t="s">
        <v>274</v>
      </c>
      <c r="E21" s="31" t="s">
        <v>264</v>
      </c>
      <c r="F21" s="33">
        <v>38687</v>
      </c>
      <c r="G21" s="31" t="s">
        <v>275</v>
      </c>
      <c r="H21" s="33">
        <v>38751</v>
      </c>
      <c r="I21" s="29" t="s">
        <v>178</v>
      </c>
      <c r="J21" s="28" t="s">
        <v>274</v>
      </c>
      <c r="K21" s="28">
        <f t="shared" si="1"/>
        <v>21</v>
      </c>
      <c r="L21" s="28" t="str">
        <f t="shared" si="2"/>
        <v>Greater Than 0</v>
      </c>
      <c r="M21" s="46" t="s">
        <v>654</v>
      </c>
      <c r="N21" s="28"/>
      <c r="O21">
        <f t="shared" si="3"/>
        <v>0.84</v>
      </c>
      <c r="P21" t="b">
        <f t="shared" si="4"/>
        <v>0</v>
      </c>
    </row>
    <row r="22" spans="1:16" x14ac:dyDescent="0.25">
      <c r="A22" s="29">
        <f t="shared" si="0"/>
        <v>21</v>
      </c>
      <c r="B22" s="30">
        <f>COUNTIF($C$2:C22,C22)</f>
        <v>21</v>
      </c>
      <c r="C22" s="31" t="s">
        <v>232</v>
      </c>
      <c r="D22" s="31" t="s">
        <v>276</v>
      </c>
      <c r="E22" s="31" t="s">
        <v>264</v>
      </c>
      <c r="F22" s="33">
        <v>38968</v>
      </c>
      <c r="G22" s="31" t="s">
        <v>277</v>
      </c>
      <c r="H22" s="33">
        <v>38987</v>
      </c>
      <c r="I22" s="29" t="s">
        <v>180</v>
      </c>
      <c r="J22" s="28" t="s">
        <v>276</v>
      </c>
      <c r="K22" s="28">
        <f t="shared" si="1"/>
        <v>20</v>
      </c>
      <c r="L22" s="28" t="str">
        <f t="shared" si="2"/>
        <v>Greater Than 0</v>
      </c>
      <c r="M22" s="46" t="s">
        <v>648</v>
      </c>
      <c r="N22" s="28"/>
      <c r="O22">
        <f t="shared" si="3"/>
        <v>0.8</v>
      </c>
      <c r="P22" t="b">
        <f t="shared" si="4"/>
        <v>0</v>
      </c>
    </row>
    <row r="23" spans="1:16" x14ac:dyDescent="0.25">
      <c r="A23" s="29">
        <f t="shared" si="0"/>
        <v>22</v>
      </c>
      <c r="B23" s="30">
        <f>COUNTIF($C$2:C23,C23)</f>
        <v>22</v>
      </c>
      <c r="C23" s="31" t="s">
        <v>232</v>
      </c>
      <c r="D23" s="31" t="s">
        <v>278</v>
      </c>
      <c r="E23" s="31" t="s">
        <v>264</v>
      </c>
      <c r="F23" s="33">
        <v>39534</v>
      </c>
      <c r="G23" s="31" t="s">
        <v>279</v>
      </c>
      <c r="H23" s="33">
        <v>39538</v>
      </c>
      <c r="I23" s="34" t="s">
        <v>178</v>
      </c>
      <c r="J23" s="28" t="s">
        <v>278</v>
      </c>
      <c r="K23" s="28">
        <f t="shared" si="1"/>
        <v>19</v>
      </c>
      <c r="L23" s="28" t="str">
        <f t="shared" si="2"/>
        <v>Greater Than 0</v>
      </c>
      <c r="M23" s="46" t="s">
        <v>650</v>
      </c>
      <c r="N23" s="28"/>
      <c r="O23">
        <f t="shared" si="3"/>
        <v>0.76</v>
      </c>
      <c r="P23" t="b">
        <f t="shared" si="4"/>
        <v>0</v>
      </c>
    </row>
    <row r="24" spans="1:16" x14ac:dyDescent="0.25">
      <c r="A24" s="29">
        <f t="shared" si="0"/>
        <v>23</v>
      </c>
      <c r="B24" s="30">
        <f>COUNTIF($C$2:C24,C24)</f>
        <v>23</v>
      </c>
      <c r="C24" s="31" t="s">
        <v>232</v>
      </c>
      <c r="D24" s="31" t="s">
        <v>280</v>
      </c>
      <c r="E24" s="31" t="s">
        <v>264</v>
      </c>
      <c r="F24" s="33">
        <v>39534</v>
      </c>
      <c r="G24" s="31" t="s">
        <v>281</v>
      </c>
      <c r="H24" s="33">
        <v>39538</v>
      </c>
      <c r="I24" s="29" t="s">
        <v>178</v>
      </c>
      <c r="J24" s="28" t="s">
        <v>280</v>
      </c>
      <c r="K24" s="28">
        <f t="shared" si="1"/>
        <v>19</v>
      </c>
      <c r="L24" s="28" t="str">
        <f t="shared" si="2"/>
        <v>Greater Than 0</v>
      </c>
      <c r="M24" s="46" t="s">
        <v>654</v>
      </c>
      <c r="N24" s="28"/>
      <c r="O24">
        <f t="shared" si="3"/>
        <v>0.76</v>
      </c>
      <c r="P24" t="b">
        <f t="shared" si="4"/>
        <v>0</v>
      </c>
    </row>
    <row r="25" spans="1:16" x14ac:dyDescent="0.25">
      <c r="A25" s="29">
        <f t="shared" si="0"/>
        <v>24</v>
      </c>
      <c r="B25" s="30">
        <f>COUNTIF($C$2:C25,C25)</f>
        <v>24</v>
      </c>
      <c r="C25" s="31" t="s">
        <v>232</v>
      </c>
      <c r="D25" s="31" t="s">
        <v>282</v>
      </c>
      <c r="E25" s="31" t="s">
        <v>264</v>
      </c>
      <c r="F25" s="33">
        <v>40003</v>
      </c>
      <c r="G25" s="31" t="s">
        <v>283</v>
      </c>
      <c r="H25" s="33">
        <v>40010</v>
      </c>
      <c r="I25" s="29" t="s">
        <v>180</v>
      </c>
      <c r="J25" s="28" t="s">
        <v>282</v>
      </c>
      <c r="K25" s="28">
        <f t="shared" si="1"/>
        <v>17</v>
      </c>
      <c r="L25" s="28" t="str">
        <f t="shared" si="2"/>
        <v>Greater Than 0</v>
      </c>
      <c r="M25" s="46" t="s">
        <v>650</v>
      </c>
      <c r="N25" s="28"/>
      <c r="O25">
        <f t="shared" si="3"/>
        <v>0.68</v>
      </c>
      <c r="P25" t="b">
        <f t="shared" si="4"/>
        <v>0</v>
      </c>
    </row>
    <row r="26" spans="1:16" x14ac:dyDescent="0.25">
      <c r="A26" s="29">
        <f t="shared" si="0"/>
        <v>25</v>
      </c>
      <c r="B26" s="30">
        <f>COUNTIF($C$2:C26,C26)</f>
        <v>25</v>
      </c>
      <c r="C26" s="31" t="s">
        <v>232</v>
      </c>
      <c r="D26" s="31" t="s">
        <v>284</v>
      </c>
      <c r="E26" s="31" t="s">
        <v>264</v>
      </c>
      <c r="F26" s="33">
        <v>40163</v>
      </c>
      <c r="G26" s="31" t="s">
        <v>285</v>
      </c>
      <c r="H26" s="33">
        <v>40190</v>
      </c>
      <c r="I26" s="29" t="s">
        <v>180</v>
      </c>
      <c r="J26" s="28" t="s">
        <v>284</v>
      </c>
      <c r="K26" s="28">
        <f t="shared" si="1"/>
        <v>17</v>
      </c>
      <c r="L26" s="28" t="str">
        <f t="shared" si="2"/>
        <v>Greater Than 0</v>
      </c>
      <c r="M26" s="46" t="s">
        <v>650</v>
      </c>
      <c r="N26" s="28"/>
      <c r="O26">
        <f t="shared" si="3"/>
        <v>0.68</v>
      </c>
      <c r="P26" t="b">
        <f t="shared" si="4"/>
        <v>0</v>
      </c>
    </row>
    <row r="27" spans="1:16" x14ac:dyDescent="0.25">
      <c r="A27" s="29">
        <f t="shared" si="0"/>
        <v>26</v>
      </c>
      <c r="B27" s="30">
        <f>COUNTIF($C$2:C27,C27)</f>
        <v>26</v>
      </c>
      <c r="C27" s="31" t="s">
        <v>232</v>
      </c>
      <c r="D27" s="31" t="s">
        <v>286</v>
      </c>
      <c r="E27" s="31" t="s">
        <v>264</v>
      </c>
      <c r="F27" s="33">
        <v>40191</v>
      </c>
      <c r="G27" s="31" t="s">
        <v>287</v>
      </c>
      <c r="H27" s="33">
        <v>40211</v>
      </c>
      <c r="I27" s="29" t="s">
        <v>180</v>
      </c>
      <c r="J27" s="28" t="s">
        <v>286</v>
      </c>
      <c r="K27" s="28">
        <f t="shared" si="1"/>
        <v>17</v>
      </c>
      <c r="L27" s="28" t="str">
        <f t="shared" si="2"/>
        <v>Greater Than 0</v>
      </c>
      <c r="M27" s="46" t="s">
        <v>650</v>
      </c>
      <c r="N27" s="28"/>
      <c r="O27">
        <f t="shared" si="3"/>
        <v>0.68</v>
      </c>
      <c r="P27" t="b">
        <f t="shared" si="4"/>
        <v>0</v>
      </c>
    </row>
    <row r="28" spans="1:16" x14ac:dyDescent="0.25">
      <c r="A28" s="29">
        <f t="shared" si="0"/>
        <v>27</v>
      </c>
      <c r="B28" s="30">
        <f>COUNTIF($C$2:C28,C28)</f>
        <v>27</v>
      </c>
      <c r="C28" s="31" t="s">
        <v>232</v>
      </c>
      <c r="D28" s="31" t="s">
        <v>288</v>
      </c>
      <c r="E28" s="31" t="s">
        <v>264</v>
      </c>
      <c r="F28" s="33">
        <v>40360</v>
      </c>
      <c r="G28" s="31" t="s">
        <v>289</v>
      </c>
      <c r="H28" s="33">
        <v>40378</v>
      </c>
      <c r="I28" s="29" t="s">
        <v>178</v>
      </c>
      <c r="J28" s="28" t="s">
        <v>288</v>
      </c>
      <c r="K28" s="28">
        <f t="shared" si="1"/>
        <v>16</v>
      </c>
      <c r="L28" s="28" t="str">
        <f t="shared" si="2"/>
        <v>Greater Than 0</v>
      </c>
      <c r="M28" s="46" t="s">
        <v>648</v>
      </c>
      <c r="N28" s="28"/>
      <c r="O28">
        <f t="shared" si="3"/>
        <v>0.64</v>
      </c>
      <c r="P28" t="b">
        <f t="shared" si="4"/>
        <v>0</v>
      </c>
    </row>
    <row r="29" spans="1:16" x14ac:dyDescent="0.25">
      <c r="A29" s="29">
        <f t="shared" si="0"/>
        <v>28</v>
      </c>
      <c r="B29" s="30">
        <f>COUNTIF($C$2:C29,C29)</f>
        <v>28</v>
      </c>
      <c r="C29" s="31" t="s">
        <v>232</v>
      </c>
      <c r="D29" s="31" t="s">
        <v>290</v>
      </c>
      <c r="E29" s="31" t="s">
        <v>291</v>
      </c>
      <c r="F29" s="33">
        <v>41359</v>
      </c>
      <c r="G29" s="31" t="s">
        <v>292</v>
      </c>
      <c r="H29" s="33">
        <v>41389</v>
      </c>
      <c r="I29" s="29" t="s">
        <v>178</v>
      </c>
      <c r="J29" s="28" t="s">
        <v>290</v>
      </c>
      <c r="K29" s="28">
        <f t="shared" si="1"/>
        <v>14</v>
      </c>
      <c r="L29" s="28" t="str">
        <f t="shared" si="2"/>
        <v>Greater Than 0</v>
      </c>
      <c r="M29" s="46" t="s">
        <v>648</v>
      </c>
      <c r="N29" s="28"/>
      <c r="O29">
        <f t="shared" si="3"/>
        <v>0.56000000000000005</v>
      </c>
      <c r="P29" t="b">
        <f t="shared" si="4"/>
        <v>0</v>
      </c>
    </row>
    <row r="30" spans="1:16" x14ac:dyDescent="0.25">
      <c r="A30" s="29">
        <f t="shared" si="0"/>
        <v>29</v>
      </c>
      <c r="B30" s="30">
        <f>COUNTIF($C$2:C30,C30)</f>
        <v>29</v>
      </c>
      <c r="C30" s="31" t="s">
        <v>232</v>
      </c>
      <c r="D30" s="31" t="s">
        <v>293</v>
      </c>
      <c r="E30" s="31" t="s">
        <v>291</v>
      </c>
      <c r="F30" s="33">
        <v>41359</v>
      </c>
      <c r="G30" s="31" t="s">
        <v>294</v>
      </c>
      <c r="H30" s="33">
        <v>41389</v>
      </c>
      <c r="I30" s="29" t="s">
        <v>180</v>
      </c>
      <c r="J30" s="28" t="s">
        <v>293</v>
      </c>
      <c r="K30" s="28">
        <f t="shared" si="1"/>
        <v>14</v>
      </c>
      <c r="L30" s="28" t="str">
        <f t="shared" si="2"/>
        <v>Greater Than 0</v>
      </c>
      <c r="M30" s="46" t="s">
        <v>648</v>
      </c>
      <c r="N30" s="28"/>
      <c r="O30">
        <f t="shared" si="3"/>
        <v>0.56000000000000005</v>
      </c>
      <c r="P30" t="b">
        <f t="shared" si="4"/>
        <v>0</v>
      </c>
    </row>
    <row r="31" spans="1:16" x14ac:dyDescent="0.25">
      <c r="A31" s="29">
        <f t="shared" si="0"/>
        <v>30</v>
      </c>
      <c r="B31" s="30">
        <f>COUNTIF($C$2:C31,C31)</f>
        <v>30</v>
      </c>
      <c r="C31" s="31" t="s">
        <v>232</v>
      </c>
      <c r="D31" s="31" t="s">
        <v>295</v>
      </c>
      <c r="E31" s="31" t="s">
        <v>291</v>
      </c>
      <c r="F31" s="33">
        <v>41426</v>
      </c>
      <c r="G31" s="31" t="s">
        <v>296</v>
      </c>
      <c r="H31" s="33">
        <v>41428</v>
      </c>
      <c r="I31" s="29" t="s">
        <v>178</v>
      </c>
      <c r="J31" s="28" t="s">
        <v>295</v>
      </c>
      <c r="K31" s="28">
        <f t="shared" si="1"/>
        <v>13</v>
      </c>
      <c r="L31" s="28" t="str">
        <f t="shared" si="2"/>
        <v>Greater Than 0</v>
      </c>
      <c r="M31" s="46" t="s">
        <v>648</v>
      </c>
      <c r="N31" s="28"/>
      <c r="O31">
        <f t="shared" si="3"/>
        <v>0.52</v>
      </c>
      <c r="P31" t="b">
        <f t="shared" si="4"/>
        <v>0</v>
      </c>
    </row>
    <row r="32" spans="1:16" x14ac:dyDescent="0.25">
      <c r="A32" s="29">
        <f t="shared" si="0"/>
        <v>31</v>
      </c>
      <c r="B32" s="30">
        <f>COUNTIF($C$2:C32,C32)</f>
        <v>31</v>
      </c>
      <c r="C32" s="31" t="s">
        <v>232</v>
      </c>
      <c r="D32" s="31" t="s">
        <v>297</v>
      </c>
      <c r="E32" s="31" t="s">
        <v>291</v>
      </c>
      <c r="F32" s="33">
        <v>41426</v>
      </c>
      <c r="G32" s="31" t="s">
        <v>298</v>
      </c>
      <c r="H32" s="33">
        <v>41428</v>
      </c>
      <c r="I32" s="29" t="s">
        <v>178</v>
      </c>
      <c r="J32" s="28" t="s">
        <v>297</v>
      </c>
      <c r="K32" s="28">
        <f t="shared" si="1"/>
        <v>13</v>
      </c>
      <c r="L32" s="28" t="str">
        <f t="shared" si="2"/>
        <v>Greater Than 0</v>
      </c>
      <c r="M32" s="46" t="s">
        <v>648</v>
      </c>
      <c r="N32" s="28"/>
      <c r="O32">
        <f t="shared" si="3"/>
        <v>0.52</v>
      </c>
      <c r="P32" t="b">
        <f t="shared" si="4"/>
        <v>0</v>
      </c>
    </row>
    <row r="33" spans="1:16" x14ac:dyDescent="0.25">
      <c r="A33" s="29">
        <f t="shared" si="0"/>
        <v>32</v>
      </c>
      <c r="B33" s="30">
        <f>COUNTIF($C$2:C33,C33)</f>
        <v>32</v>
      </c>
      <c r="C33" s="31" t="s">
        <v>232</v>
      </c>
      <c r="D33" s="31" t="s">
        <v>299</v>
      </c>
      <c r="E33" s="31" t="s">
        <v>264</v>
      </c>
      <c r="F33" s="33">
        <v>42215</v>
      </c>
      <c r="G33" s="31" t="s">
        <v>300</v>
      </c>
      <c r="H33" s="33">
        <v>42237</v>
      </c>
      <c r="I33" s="29" t="s">
        <v>180</v>
      </c>
      <c r="J33" s="28" t="s">
        <v>299</v>
      </c>
      <c r="K33" s="28">
        <f t="shared" si="1"/>
        <v>11</v>
      </c>
      <c r="L33" s="28" t="str">
        <f t="shared" si="2"/>
        <v>Greater Than 0</v>
      </c>
      <c r="M33" s="46" t="s">
        <v>648</v>
      </c>
      <c r="N33" s="28"/>
      <c r="O33">
        <f t="shared" si="3"/>
        <v>0.44</v>
      </c>
      <c r="P33" t="b">
        <f t="shared" si="4"/>
        <v>0</v>
      </c>
    </row>
    <row r="34" spans="1:16" x14ac:dyDescent="0.25">
      <c r="A34" s="29">
        <f t="shared" si="0"/>
        <v>33</v>
      </c>
      <c r="B34" s="30">
        <f>COUNTIF($C$2:C34,C34)</f>
        <v>33</v>
      </c>
      <c r="C34" s="31" t="s">
        <v>232</v>
      </c>
      <c r="D34" s="31" t="s">
        <v>301</v>
      </c>
      <c r="E34" s="31" t="s">
        <v>264</v>
      </c>
      <c r="F34" s="33">
        <v>42386</v>
      </c>
      <c r="G34" s="31" t="s">
        <v>302</v>
      </c>
      <c r="H34" s="33">
        <v>42401</v>
      </c>
      <c r="I34" s="29" t="s">
        <v>178</v>
      </c>
      <c r="J34" s="28" t="s">
        <v>613</v>
      </c>
      <c r="K34" s="28">
        <f t="shared" si="1"/>
        <v>11</v>
      </c>
      <c r="L34" s="28" t="str">
        <f t="shared" si="2"/>
        <v>Greater Than 0</v>
      </c>
      <c r="M34" s="46" t="s">
        <v>654</v>
      </c>
      <c r="N34" s="28"/>
      <c r="O34">
        <f t="shared" si="3"/>
        <v>0.44</v>
      </c>
      <c r="P34" t="b">
        <f t="shared" si="4"/>
        <v>0</v>
      </c>
    </row>
    <row r="35" spans="1:16" x14ac:dyDescent="0.25">
      <c r="A35" s="29">
        <f t="shared" si="0"/>
        <v>34</v>
      </c>
      <c r="B35" s="30">
        <f>COUNTIF($C$2:C35,C35)</f>
        <v>34</v>
      </c>
      <c r="C35" s="31" t="s">
        <v>232</v>
      </c>
      <c r="D35" s="31" t="s">
        <v>303</v>
      </c>
      <c r="E35" s="31" t="s">
        <v>291</v>
      </c>
      <c r="F35" s="33">
        <v>42552</v>
      </c>
      <c r="G35" s="31" t="s">
        <v>304</v>
      </c>
      <c r="H35" s="33">
        <v>42662</v>
      </c>
      <c r="I35" s="29" t="s">
        <v>178</v>
      </c>
      <c r="J35" s="28" t="s">
        <v>204</v>
      </c>
      <c r="K35" s="28">
        <f t="shared" si="1"/>
        <v>10</v>
      </c>
      <c r="L35" s="28" t="str">
        <f t="shared" si="2"/>
        <v>Greater Than 0</v>
      </c>
      <c r="M35" s="46" t="s">
        <v>648</v>
      </c>
      <c r="N35" s="28"/>
      <c r="O35">
        <f t="shared" si="3"/>
        <v>0.4</v>
      </c>
      <c r="P35" t="b">
        <f t="shared" si="4"/>
        <v>0</v>
      </c>
    </row>
    <row r="36" spans="1:16" x14ac:dyDescent="0.25">
      <c r="A36" s="29">
        <f t="shared" si="0"/>
        <v>35</v>
      </c>
      <c r="B36" s="30">
        <f>COUNTIF($C$2:C36,C36)</f>
        <v>35</v>
      </c>
      <c r="C36" s="31" t="s">
        <v>232</v>
      </c>
      <c r="D36" s="31" t="s">
        <v>305</v>
      </c>
      <c r="E36" s="31" t="s">
        <v>264</v>
      </c>
      <c r="F36" s="33">
        <v>42552</v>
      </c>
      <c r="G36" s="31" t="s">
        <v>306</v>
      </c>
      <c r="H36" s="33">
        <v>42662</v>
      </c>
      <c r="I36" s="29" t="s">
        <v>178</v>
      </c>
      <c r="J36" s="28" t="s">
        <v>214</v>
      </c>
      <c r="K36" s="28">
        <f t="shared" si="1"/>
        <v>10</v>
      </c>
      <c r="L36" s="28" t="str">
        <f t="shared" si="2"/>
        <v>Greater Than 0</v>
      </c>
      <c r="M36" s="46" t="s">
        <v>648</v>
      </c>
      <c r="N36" s="28"/>
      <c r="O36">
        <f t="shared" si="3"/>
        <v>0.4</v>
      </c>
      <c r="P36" t="b">
        <f t="shared" si="4"/>
        <v>0</v>
      </c>
    </row>
    <row r="37" spans="1:16" x14ac:dyDescent="0.25">
      <c r="A37" s="29">
        <f t="shared" si="0"/>
        <v>36</v>
      </c>
      <c r="B37" s="30">
        <f>COUNTIF($C$2:C37,C37)</f>
        <v>36</v>
      </c>
      <c r="C37" s="31" t="s">
        <v>232</v>
      </c>
      <c r="D37" s="31" t="s">
        <v>307</v>
      </c>
      <c r="E37" s="31" t="s">
        <v>264</v>
      </c>
      <c r="F37" s="33">
        <v>45008</v>
      </c>
      <c r="G37" s="31" t="s">
        <v>308</v>
      </c>
      <c r="H37" s="33">
        <v>45014</v>
      </c>
      <c r="I37" s="29" t="s">
        <v>180</v>
      </c>
      <c r="J37" s="28" t="s">
        <v>307</v>
      </c>
      <c r="K37" s="28">
        <f t="shared" si="1"/>
        <v>4</v>
      </c>
      <c r="L37" s="28" t="str">
        <f t="shared" si="2"/>
        <v>Greater Than 0</v>
      </c>
      <c r="M37" s="46" t="s">
        <v>650</v>
      </c>
      <c r="N37" s="28"/>
      <c r="O37">
        <f t="shared" si="3"/>
        <v>0.16</v>
      </c>
      <c r="P37" t="b">
        <f t="shared" si="4"/>
        <v>0</v>
      </c>
    </row>
    <row r="38" spans="1:16" x14ac:dyDescent="0.25">
      <c r="A38" s="29">
        <f t="shared" si="0"/>
        <v>37</v>
      </c>
      <c r="B38" s="30">
        <f>COUNTIF($C$2:C38,C38)</f>
        <v>37</v>
      </c>
      <c r="C38" s="31" t="s">
        <v>232</v>
      </c>
      <c r="D38" s="31" t="s">
        <v>309</v>
      </c>
      <c r="E38" s="31" t="s">
        <v>291</v>
      </c>
      <c r="F38" s="33">
        <v>45882</v>
      </c>
      <c r="G38" s="31" t="s">
        <v>310</v>
      </c>
      <c r="H38" s="33">
        <v>45897</v>
      </c>
      <c r="I38" s="29" t="s">
        <v>178</v>
      </c>
      <c r="J38" s="28" t="s">
        <v>309</v>
      </c>
      <c r="K38" s="28">
        <f t="shared" si="1"/>
        <v>1</v>
      </c>
      <c r="L38" s="28" t="str">
        <f t="shared" si="2"/>
        <v>Greater Than 0</v>
      </c>
      <c r="M38" s="46" t="s">
        <v>648</v>
      </c>
      <c r="N38" s="28" t="s">
        <v>665</v>
      </c>
      <c r="O38">
        <f t="shared" si="3"/>
        <v>0.04</v>
      </c>
      <c r="P38" t="b">
        <f t="shared" si="4"/>
        <v>0</v>
      </c>
    </row>
    <row r="39" spans="1:16" x14ac:dyDescent="0.25">
      <c r="A39" s="29">
        <f t="shared" si="0"/>
        <v>38</v>
      </c>
      <c r="B39" s="30">
        <f>COUNTIF($C$2:C39,C39)</f>
        <v>38</v>
      </c>
      <c r="C39" s="31" t="s">
        <v>232</v>
      </c>
      <c r="D39" s="31" t="s">
        <v>311</v>
      </c>
      <c r="E39" s="31" t="s">
        <v>291</v>
      </c>
      <c r="F39" s="33">
        <v>45938</v>
      </c>
      <c r="G39" s="31" t="s">
        <v>312</v>
      </c>
      <c r="H39" s="33">
        <v>45965</v>
      </c>
      <c r="I39" s="29" t="s">
        <v>180</v>
      </c>
      <c r="J39" s="28" t="s">
        <v>217</v>
      </c>
      <c r="K39" s="28">
        <f t="shared" si="1"/>
        <v>1</v>
      </c>
      <c r="L39" s="28" t="str">
        <f t="shared" si="2"/>
        <v>Greater Than 0</v>
      </c>
      <c r="M39" s="46" t="s">
        <v>648</v>
      </c>
      <c r="N39" s="28" t="s">
        <v>665</v>
      </c>
      <c r="O39">
        <f t="shared" si="3"/>
        <v>0.04</v>
      </c>
      <c r="P39" t="b">
        <f t="shared" si="4"/>
        <v>0</v>
      </c>
    </row>
    <row r="40" spans="1:16" ht="28.5" x14ac:dyDescent="0.25">
      <c r="A40" s="21">
        <f t="shared" si="0"/>
        <v>39</v>
      </c>
      <c r="B40" s="22">
        <f>COUNTIF($C$2:C40,C40)</f>
        <v>1</v>
      </c>
      <c r="C40" s="23" t="s">
        <v>313</v>
      </c>
      <c r="D40" s="24" t="s">
        <v>314</v>
      </c>
      <c r="E40" s="25" t="s">
        <v>234</v>
      </c>
      <c r="F40" s="26">
        <v>22737</v>
      </c>
      <c r="G40" s="24" t="s">
        <v>237</v>
      </c>
      <c r="H40" s="26">
        <v>22724</v>
      </c>
      <c r="I40" s="27" t="s">
        <v>130</v>
      </c>
      <c r="J40" s="28" t="s">
        <v>614</v>
      </c>
      <c r="K40" s="28">
        <f t="shared" si="1"/>
        <v>64</v>
      </c>
      <c r="L40" s="28" t="str">
        <f t="shared" si="2"/>
        <v>Greater Than 50</v>
      </c>
      <c r="M40" s="46" t="s">
        <v>656</v>
      </c>
      <c r="N40" s="28"/>
      <c r="O40">
        <f t="shared" si="3"/>
        <v>2.56</v>
      </c>
      <c r="P40" t="b">
        <f t="shared" si="4"/>
        <v>0</v>
      </c>
    </row>
    <row r="41" spans="1:16" ht="28.5" x14ac:dyDescent="0.25">
      <c r="A41" s="29">
        <f t="shared" si="0"/>
        <v>40</v>
      </c>
      <c r="B41" s="30">
        <f>COUNTIF($C$2:C41,C41)</f>
        <v>2</v>
      </c>
      <c r="C41" s="31" t="s">
        <v>313</v>
      </c>
      <c r="D41" s="31" t="s">
        <v>315</v>
      </c>
      <c r="E41" s="32" t="s">
        <v>234</v>
      </c>
      <c r="F41" s="33">
        <v>22737</v>
      </c>
      <c r="G41" s="31" t="s">
        <v>237</v>
      </c>
      <c r="H41" s="33">
        <v>22724</v>
      </c>
      <c r="I41" s="29" t="s">
        <v>124</v>
      </c>
      <c r="J41" s="28" t="s">
        <v>315</v>
      </c>
      <c r="K41" s="28">
        <f t="shared" si="1"/>
        <v>64</v>
      </c>
      <c r="L41" s="28" t="str">
        <f t="shared" si="2"/>
        <v>Greater Than 50</v>
      </c>
      <c r="M41" s="46" t="s">
        <v>652</v>
      </c>
      <c r="N41" s="28"/>
      <c r="O41">
        <f t="shared" si="3"/>
        <v>2.56</v>
      </c>
      <c r="P41" t="b">
        <f t="shared" si="4"/>
        <v>0</v>
      </c>
    </row>
    <row r="42" spans="1:16" ht="28.5" x14ac:dyDescent="0.25">
      <c r="A42" s="29">
        <f t="shared" si="0"/>
        <v>41</v>
      </c>
      <c r="B42" s="30">
        <f>COUNTIF($C$2:C42,C42)</f>
        <v>3</v>
      </c>
      <c r="C42" s="31" t="s">
        <v>313</v>
      </c>
      <c r="D42" s="32" t="s">
        <v>316</v>
      </c>
      <c r="E42" s="32" t="s">
        <v>234</v>
      </c>
      <c r="F42" s="33">
        <v>22737</v>
      </c>
      <c r="G42" s="31" t="s">
        <v>237</v>
      </c>
      <c r="H42" s="33">
        <v>22724</v>
      </c>
      <c r="I42" s="29" t="s">
        <v>317</v>
      </c>
      <c r="J42" s="28" t="s">
        <v>316</v>
      </c>
      <c r="K42" s="28">
        <f t="shared" si="1"/>
        <v>64</v>
      </c>
      <c r="L42" s="28" t="str">
        <f t="shared" si="2"/>
        <v>Greater Than 50</v>
      </c>
      <c r="M42" s="46" t="s">
        <v>656</v>
      </c>
      <c r="N42" s="28"/>
      <c r="O42">
        <f t="shared" si="3"/>
        <v>2.56</v>
      </c>
      <c r="P42" t="b">
        <f t="shared" si="4"/>
        <v>0</v>
      </c>
    </row>
    <row r="43" spans="1:16" ht="28.5" x14ac:dyDescent="0.25">
      <c r="A43" s="29">
        <f t="shared" si="0"/>
        <v>42</v>
      </c>
      <c r="B43" s="30">
        <f>COUNTIF($C$2:C43,C43)</f>
        <v>4</v>
      </c>
      <c r="C43" s="31" t="s">
        <v>313</v>
      </c>
      <c r="D43" s="31" t="s">
        <v>318</v>
      </c>
      <c r="E43" s="32" t="s">
        <v>234</v>
      </c>
      <c r="F43" s="33">
        <v>22737</v>
      </c>
      <c r="G43" s="31" t="s">
        <v>237</v>
      </c>
      <c r="H43" s="33">
        <v>22724</v>
      </c>
      <c r="I43" s="29" t="s">
        <v>124</v>
      </c>
      <c r="J43" s="28" t="s">
        <v>318</v>
      </c>
      <c r="K43" s="28">
        <f t="shared" si="1"/>
        <v>64</v>
      </c>
      <c r="L43" s="28" t="str">
        <f t="shared" si="2"/>
        <v>Greater Than 50</v>
      </c>
      <c r="M43" s="46" t="s">
        <v>650</v>
      </c>
      <c r="N43" s="28"/>
      <c r="O43">
        <f t="shared" si="3"/>
        <v>2.56</v>
      </c>
      <c r="P43" t="b">
        <f t="shared" si="4"/>
        <v>0</v>
      </c>
    </row>
    <row r="44" spans="1:16" x14ac:dyDescent="0.25">
      <c r="A44" s="29">
        <f t="shared" si="0"/>
        <v>43</v>
      </c>
      <c r="B44" s="30">
        <f>COUNTIF($C$2:C44,C44)</f>
        <v>5</v>
      </c>
      <c r="C44" s="31" t="s">
        <v>313</v>
      </c>
      <c r="D44" s="31" t="s">
        <v>319</v>
      </c>
      <c r="E44" s="31" t="s">
        <v>239</v>
      </c>
      <c r="F44" s="33">
        <v>24807</v>
      </c>
      <c r="G44" s="31" t="s">
        <v>320</v>
      </c>
      <c r="H44" s="33">
        <v>24782</v>
      </c>
      <c r="I44" s="29" t="s">
        <v>126</v>
      </c>
      <c r="J44" s="28" t="s">
        <v>135</v>
      </c>
      <c r="K44" s="28">
        <f t="shared" si="1"/>
        <v>59</v>
      </c>
      <c r="L44" s="28" t="str">
        <f t="shared" si="2"/>
        <v>Greater Than 50</v>
      </c>
      <c r="M44" s="46" t="s">
        <v>654</v>
      </c>
      <c r="N44" s="28"/>
      <c r="O44">
        <f t="shared" si="3"/>
        <v>2.36</v>
      </c>
      <c r="P44" t="b">
        <f t="shared" si="4"/>
        <v>0</v>
      </c>
    </row>
    <row r="45" spans="1:16" x14ac:dyDescent="0.25">
      <c r="A45" s="29">
        <f t="shared" si="0"/>
        <v>44</v>
      </c>
      <c r="B45" s="30">
        <f>COUNTIF($C$2:C45,C45)</f>
        <v>6</v>
      </c>
      <c r="C45" s="31" t="s">
        <v>313</v>
      </c>
      <c r="D45" s="31" t="s">
        <v>321</v>
      </c>
      <c r="E45" s="31" t="s">
        <v>239</v>
      </c>
      <c r="F45" s="33">
        <v>26163</v>
      </c>
      <c r="G45" s="31" t="s">
        <v>242</v>
      </c>
      <c r="H45" s="33">
        <v>26163</v>
      </c>
      <c r="I45" s="29" t="s">
        <v>130</v>
      </c>
      <c r="J45" s="28" t="s">
        <v>615</v>
      </c>
      <c r="K45" s="28">
        <f t="shared" si="1"/>
        <v>55</v>
      </c>
      <c r="L45" s="28" t="str">
        <f t="shared" si="2"/>
        <v>Greater Than 50</v>
      </c>
      <c r="M45" s="46" t="s">
        <v>652</v>
      </c>
      <c r="N45" s="28"/>
      <c r="O45">
        <f t="shared" si="3"/>
        <v>2.2000000000000002</v>
      </c>
      <c r="P45" t="b">
        <f t="shared" si="4"/>
        <v>0</v>
      </c>
    </row>
    <row r="46" spans="1:16" x14ac:dyDescent="0.25">
      <c r="A46" s="29">
        <f t="shared" si="0"/>
        <v>45</v>
      </c>
      <c r="B46" s="30">
        <f>COUNTIF($C$2:C46,C46)</f>
        <v>7</v>
      </c>
      <c r="C46" s="31" t="s">
        <v>313</v>
      </c>
      <c r="D46" s="31" t="s">
        <v>322</v>
      </c>
      <c r="E46" s="31" t="s">
        <v>239</v>
      </c>
      <c r="F46" s="33">
        <v>26163</v>
      </c>
      <c r="G46" s="31" t="s">
        <v>242</v>
      </c>
      <c r="H46" s="33">
        <v>26163</v>
      </c>
      <c r="I46" s="29" t="s">
        <v>124</v>
      </c>
      <c r="J46" s="28" t="s">
        <v>322</v>
      </c>
      <c r="K46" s="28">
        <f t="shared" si="1"/>
        <v>55</v>
      </c>
      <c r="L46" s="28" t="str">
        <f t="shared" si="2"/>
        <v>Greater Than 50</v>
      </c>
      <c r="M46" s="46" t="s">
        <v>650</v>
      </c>
      <c r="N46" s="28"/>
      <c r="O46">
        <f t="shared" si="3"/>
        <v>2.2000000000000002</v>
      </c>
      <c r="P46" t="b">
        <f t="shared" si="4"/>
        <v>0</v>
      </c>
    </row>
    <row r="47" spans="1:16" x14ac:dyDescent="0.25">
      <c r="A47" s="29">
        <f t="shared" si="0"/>
        <v>46</v>
      </c>
      <c r="B47" s="30">
        <f>COUNTIF($C$2:C47,C47)</f>
        <v>8</v>
      </c>
      <c r="C47" s="31" t="s">
        <v>313</v>
      </c>
      <c r="D47" s="31" t="s">
        <v>323</v>
      </c>
      <c r="E47" s="31" t="s">
        <v>239</v>
      </c>
      <c r="F47" s="33">
        <v>26163</v>
      </c>
      <c r="G47" s="31" t="s">
        <v>242</v>
      </c>
      <c r="H47" s="33">
        <v>26163</v>
      </c>
      <c r="I47" s="29" t="s">
        <v>124</v>
      </c>
      <c r="J47" s="28" t="s">
        <v>161</v>
      </c>
      <c r="K47" s="28">
        <f t="shared" si="1"/>
        <v>55</v>
      </c>
      <c r="L47" s="28" t="str">
        <f t="shared" si="2"/>
        <v>Greater Than 50</v>
      </c>
      <c r="M47" s="46" t="s">
        <v>650</v>
      </c>
      <c r="N47" s="28"/>
      <c r="O47">
        <f t="shared" si="3"/>
        <v>2.2000000000000002</v>
      </c>
      <c r="P47" t="b">
        <f t="shared" si="4"/>
        <v>0</v>
      </c>
    </row>
    <row r="48" spans="1:16" x14ac:dyDescent="0.25">
      <c r="A48" s="29">
        <f t="shared" si="0"/>
        <v>47</v>
      </c>
      <c r="B48" s="30">
        <f>COUNTIF($C$2:C48,C48)</f>
        <v>9</v>
      </c>
      <c r="C48" s="31" t="s">
        <v>313</v>
      </c>
      <c r="D48" s="31" t="s">
        <v>324</v>
      </c>
      <c r="E48" s="31" t="s">
        <v>239</v>
      </c>
      <c r="F48" s="33">
        <v>26163</v>
      </c>
      <c r="G48" s="31" t="s">
        <v>242</v>
      </c>
      <c r="H48" s="33">
        <v>26163</v>
      </c>
      <c r="I48" s="29" t="s">
        <v>325</v>
      </c>
      <c r="J48" s="28" t="s">
        <v>324</v>
      </c>
      <c r="K48" s="28">
        <f t="shared" si="1"/>
        <v>55</v>
      </c>
      <c r="L48" s="28" t="str">
        <f t="shared" si="2"/>
        <v>Greater Than 50</v>
      </c>
      <c r="M48" s="46" t="s">
        <v>652</v>
      </c>
      <c r="N48" s="28"/>
      <c r="O48">
        <f t="shared" si="3"/>
        <v>2.2000000000000002</v>
      </c>
      <c r="P48" t="b">
        <f t="shared" si="4"/>
        <v>0</v>
      </c>
    </row>
    <row r="49" spans="1:16" x14ac:dyDescent="0.25">
      <c r="A49" s="29">
        <f t="shared" si="0"/>
        <v>48</v>
      </c>
      <c r="B49" s="30">
        <f>COUNTIF($C$2:C49,C49)</f>
        <v>10</v>
      </c>
      <c r="C49" s="31" t="s">
        <v>313</v>
      </c>
      <c r="D49" s="31" t="s">
        <v>326</v>
      </c>
      <c r="E49" s="31" t="s">
        <v>239</v>
      </c>
      <c r="F49" s="33">
        <v>26323</v>
      </c>
      <c r="G49" s="31" t="s">
        <v>327</v>
      </c>
      <c r="H49" s="33">
        <v>26330</v>
      </c>
      <c r="I49" s="29" t="s">
        <v>126</v>
      </c>
      <c r="J49" s="28" t="s">
        <v>616</v>
      </c>
      <c r="K49" s="28">
        <f t="shared" si="1"/>
        <v>55</v>
      </c>
      <c r="L49" s="28" t="str">
        <f t="shared" si="2"/>
        <v>Greater Than 50</v>
      </c>
      <c r="M49" s="46" t="s">
        <v>652</v>
      </c>
      <c r="N49" s="28"/>
      <c r="O49">
        <f t="shared" si="3"/>
        <v>2.2000000000000002</v>
      </c>
      <c r="P49" t="b">
        <f t="shared" si="4"/>
        <v>0</v>
      </c>
    </row>
    <row r="50" spans="1:16" x14ac:dyDescent="0.25">
      <c r="A50" s="29">
        <f t="shared" si="0"/>
        <v>49</v>
      </c>
      <c r="B50" s="30">
        <f>COUNTIF($C$2:C50,C50)</f>
        <v>11</v>
      </c>
      <c r="C50" s="31" t="s">
        <v>313</v>
      </c>
      <c r="D50" s="31" t="s">
        <v>328</v>
      </c>
      <c r="E50" s="31" t="s">
        <v>239</v>
      </c>
      <c r="F50" s="33">
        <v>27190</v>
      </c>
      <c r="G50" s="31" t="s">
        <v>329</v>
      </c>
      <c r="H50" s="33">
        <v>27190</v>
      </c>
      <c r="I50" s="29" t="s">
        <v>130</v>
      </c>
      <c r="J50" s="28" t="s">
        <v>617</v>
      </c>
      <c r="K50" s="28">
        <f t="shared" si="1"/>
        <v>52</v>
      </c>
      <c r="L50" s="28" t="str">
        <f t="shared" si="2"/>
        <v>Greater Than 50</v>
      </c>
      <c r="M50" s="46" t="s">
        <v>648</v>
      </c>
      <c r="N50" s="28"/>
      <c r="O50">
        <f t="shared" si="3"/>
        <v>2.08</v>
      </c>
      <c r="P50" t="b">
        <f t="shared" si="4"/>
        <v>0</v>
      </c>
    </row>
    <row r="51" spans="1:16" x14ac:dyDescent="0.25">
      <c r="A51" s="29">
        <f t="shared" si="0"/>
        <v>50</v>
      </c>
      <c r="B51" s="30">
        <f>COUNTIF($C$2:C51,C51)</f>
        <v>12</v>
      </c>
      <c r="C51" s="31" t="s">
        <v>313</v>
      </c>
      <c r="D51" s="31" t="s">
        <v>330</v>
      </c>
      <c r="E51" s="31" t="s">
        <v>239</v>
      </c>
      <c r="F51" s="33">
        <v>28238</v>
      </c>
      <c r="G51" s="31" t="s">
        <v>331</v>
      </c>
      <c r="H51" s="33">
        <v>28256</v>
      </c>
      <c r="I51" s="29" t="s">
        <v>325</v>
      </c>
      <c r="J51" s="28" t="s">
        <v>330</v>
      </c>
      <c r="K51" s="28">
        <f t="shared" si="1"/>
        <v>49</v>
      </c>
      <c r="L51" s="28" t="str">
        <f t="shared" si="2"/>
        <v>Greater Than 25</v>
      </c>
      <c r="M51" s="46" t="s">
        <v>652</v>
      </c>
      <c r="N51" s="28"/>
      <c r="O51">
        <f t="shared" si="3"/>
        <v>1.96</v>
      </c>
      <c r="P51" t="b">
        <f t="shared" si="4"/>
        <v>0</v>
      </c>
    </row>
    <row r="52" spans="1:16" x14ac:dyDescent="0.25">
      <c r="A52" s="29">
        <f t="shared" si="0"/>
        <v>51</v>
      </c>
      <c r="B52" s="30">
        <f>COUNTIF($C$2:C52,C52)</f>
        <v>13</v>
      </c>
      <c r="C52" s="31" t="s">
        <v>313</v>
      </c>
      <c r="D52" s="35" t="s">
        <v>332</v>
      </c>
      <c r="E52" s="31" t="s">
        <v>239</v>
      </c>
      <c r="F52" s="33">
        <v>29313</v>
      </c>
      <c r="G52" s="31" t="s">
        <v>333</v>
      </c>
      <c r="H52" s="33">
        <v>29336</v>
      </c>
      <c r="I52" s="29" t="s">
        <v>124</v>
      </c>
      <c r="J52" s="28" t="s">
        <v>332</v>
      </c>
      <c r="K52" s="28">
        <f t="shared" si="1"/>
        <v>46</v>
      </c>
      <c r="L52" s="28" t="str">
        <f t="shared" si="2"/>
        <v>Greater Than 25</v>
      </c>
      <c r="M52" s="46" t="s">
        <v>648</v>
      </c>
      <c r="N52" s="28"/>
      <c r="O52">
        <f t="shared" si="3"/>
        <v>1.84</v>
      </c>
      <c r="P52" t="b">
        <f t="shared" si="4"/>
        <v>0</v>
      </c>
    </row>
    <row r="53" spans="1:16" x14ac:dyDescent="0.25">
      <c r="A53" s="29">
        <f t="shared" si="0"/>
        <v>52</v>
      </c>
      <c r="B53" s="30">
        <f>COUNTIF($C$2:C53,C53)</f>
        <v>14</v>
      </c>
      <c r="C53" s="31" t="s">
        <v>313</v>
      </c>
      <c r="D53" s="31" t="s">
        <v>334</v>
      </c>
      <c r="E53" s="31" t="s">
        <v>239</v>
      </c>
      <c r="F53" s="33">
        <v>29479</v>
      </c>
      <c r="G53" s="31" t="s">
        <v>335</v>
      </c>
      <c r="H53" s="33">
        <v>29479</v>
      </c>
      <c r="I53" s="29" t="s">
        <v>124</v>
      </c>
      <c r="J53" s="28" t="s">
        <v>334</v>
      </c>
      <c r="K53" s="28">
        <f t="shared" si="1"/>
        <v>46</v>
      </c>
      <c r="L53" s="28" t="str">
        <f t="shared" si="2"/>
        <v>Greater Than 25</v>
      </c>
      <c r="M53" s="46" t="s">
        <v>648</v>
      </c>
      <c r="N53" s="28"/>
      <c r="O53">
        <f t="shared" si="3"/>
        <v>1.84</v>
      </c>
      <c r="P53" t="b">
        <f t="shared" si="4"/>
        <v>0</v>
      </c>
    </row>
    <row r="54" spans="1:16" x14ac:dyDescent="0.25">
      <c r="A54" s="29">
        <f t="shared" si="0"/>
        <v>53</v>
      </c>
      <c r="B54" s="30">
        <f>COUNTIF($C$2:C54,C54)</f>
        <v>15</v>
      </c>
      <c r="C54" s="31" t="s">
        <v>313</v>
      </c>
      <c r="D54" s="31" t="s">
        <v>336</v>
      </c>
      <c r="E54" s="31" t="s">
        <v>239</v>
      </c>
      <c r="F54" s="33">
        <v>29705</v>
      </c>
      <c r="G54" s="31" t="s">
        <v>337</v>
      </c>
      <c r="H54" s="33">
        <v>29712</v>
      </c>
      <c r="I54" s="29" t="s">
        <v>126</v>
      </c>
      <c r="J54" s="28" t="s">
        <v>336</v>
      </c>
      <c r="K54" s="28">
        <f t="shared" si="1"/>
        <v>45</v>
      </c>
      <c r="L54" s="28" t="str">
        <f t="shared" si="2"/>
        <v>Greater Than 25</v>
      </c>
      <c r="M54" s="46" t="s">
        <v>650</v>
      </c>
      <c r="N54" s="28"/>
      <c r="O54">
        <f t="shared" si="3"/>
        <v>1.8</v>
      </c>
      <c r="P54" t="b">
        <f t="shared" si="4"/>
        <v>0</v>
      </c>
    </row>
    <row r="55" spans="1:16" x14ac:dyDescent="0.25">
      <c r="A55" s="29">
        <f t="shared" si="0"/>
        <v>54</v>
      </c>
      <c r="B55" s="30">
        <f>COUNTIF($C$2:C55,C55)</f>
        <v>16</v>
      </c>
      <c r="C55" s="31" t="s">
        <v>313</v>
      </c>
      <c r="D55" s="31" t="s">
        <v>338</v>
      </c>
      <c r="E55" s="31" t="s">
        <v>239</v>
      </c>
      <c r="F55" s="33">
        <v>29705</v>
      </c>
      <c r="G55" s="31" t="s">
        <v>339</v>
      </c>
      <c r="H55" s="33">
        <v>29712</v>
      </c>
      <c r="I55" s="29" t="s">
        <v>126</v>
      </c>
      <c r="J55" s="28" t="s">
        <v>618</v>
      </c>
      <c r="K55" s="28">
        <f t="shared" si="1"/>
        <v>45</v>
      </c>
      <c r="L55" s="28" t="str">
        <f t="shared" si="2"/>
        <v>Greater Than 25</v>
      </c>
      <c r="M55" s="46" t="s">
        <v>652</v>
      </c>
      <c r="N55" s="28"/>
      <c r="O55">
        <f t="shared" si="3"/>
        <v>1.8</v>
      </c>
      <c r="P55" t="b">
        <f t="shared" si="4"/>
        <v>0</v>
      </c>
    </row>
    <row r="56" spans="1:16" x14ac:dyDescent="0.25">
      <c r="A56" s="29">
        <f t="shared" si="0"/>
        <v>55</v>
      </c>
      <c r="B56" s="30">
        <f>COUNTIF($C$2:C56,C56)</f>
        <v>17</v>
      </c>
      <c r="C56" s="31" t="s">
        <v>313</v>
      </c>
      <c r="D56" s="31" t="s">
        <v>340</v>
      </c>
      <c r="E56" s="32" t="s">
        <v>239</v>
      </c>
      <c r="F56" s="33">
        <v>29846</v>
      </c>
      <c r="G56" s="31" t="s">
        <v>339</v>
      </c>
      <c r="H56" s="33">
        <v>29853</v>
      </c>
      <c r="I56" s="34" t="s">
        <v>126</v>
      </c>
      <c r="J56" s="28" t="s">
        <v>619</v>
      </c>
      <c r="K56" s="28">
        <f t="shared" si="1"/>
        <v>45</v>
      </c>
      <c r="L56" s="28" t="str">
        <f t="shared" si="2"/>
        <v>Greater Than 25</v>
      </c>
      <c r="M56" s="46" t="s">
        <v>650</v>
      </c>
      <c r="N56" s="28"/>
      <c r="O56">
        <f t="shared" si="3"/>
        <v>1.8</v>
      </c>
      <c r="P56" t="b">
        <f t="shared" si="4"/>
        <v>0</v>
      </c>
    </row>
    <row r="57" spans="1:16" x14ac:dyDescent="0.25">
      <c r="A57" s="29">
        <f t="shared" si="0"/>
        <v>56</v>
      </c>
      <c r="B57" s="30">
        <f>COUNTIF($C$2:C57,C57)</f>
        <v>18</v>
      </c>
      <c r="C57" s="31" t="s">
        <v>313</v>
      </c>
      <c r="D57" s="31" t="s">
        <v>341</v>
      </c>
      <c r="E57" s="31" t="s">
        <v>239</v>
      </c>
      <c r="F57" s="33">
        <v>29943</v>
      </c>
      <c r="G57" s="31" t="s">
        <v>342</v>
      </c>
      <c r="H57" s="33">
        <v>29962</v>
      </c>
      <c r="I57" s="29" t="s">
        <v>325</v>
      </c>
      <c r="J57" s="28" t="s">
        <v>341</v>
      </c>
      <c r="K57" s="28">
        <f t="shared" si="1"/>
        <v>45</v>
      </c>
      <c r="L57" s="28" t="str">
        <f t="shared" si="2"/>
        <v>Greater Than 25</v>
      </c>
      <c r="M57" s="46" t="s">
        <v>652</v>
      </c>
      <c r="N57" s="28"/>
      <c r="O57">
        <f t="shared" si="3"/>
        <v>1.8</v>
      </c>
      <c r="P57" t="b">
        <f t="shared" si="4"/>
        <v>0</v>
      </c>
    </row>
    <row r="58" spans="1:16" x14ac:dyDescent="0.25">
      <c r="A58" s="29">
        <f t="shared" si="0"/>
        <v>57</v>
      </c>
      <c r="B58" s="30">
        <f>COUNTIF($C$2:C58,C58)</f>
        <v>19</v>
      </c>
      <c r="C58" s="31" t="s">
        <v>313</v>
      </c>
      <c r="D58" s="31" t="s">
        <v>343</v>
      </c>
      <c r="E58" s="31" t="s">
        <v>239</v>
      </c>
      <c r="F58" s="33">
        <v>30015</v>
      </c>
      <c r="G58" s="31" t="s">
        <v>344</v>
      </c>
      <c r="H58" s="33">
        <v>30028</v>
      </c>
      <c r="I58" s="29" t="s">
        <v>126</v>
      </c>
      <c r="J58" s="28" t="s">
        <v>620</v>
      </c>
      <c r="K58" s="28">
        <f t="shared" si="1"/>
        <v>45</v>
      </c>
      <c r="L58" s="28" t="str">
        <f t="shared" si="2"/>
        <v>Greater Than 25</v>
      </c>
      <c r="M58" s="46" t="s">
        <v>652</v>
      </c>
      <c r="N58" s="28"/>
      <c r="O58">
        <f t="shared" si="3"/>
        <v>1.8</v>
      </c>
      <c r="P58" t="b">
        <f t="shared" si="4"/>
        <v>0</v>
      </c>
    </row>
    <row r="59" spans="1:16" x14ac:dyDescent="0.25">
      <c r="A59" s="29">
        <f t="shared" si="0"/>
        <v>58</v>
      </c>
      <c r="B59" s="30">
        <f>COUNTIF($C$2:C59,C59)</f>
        <v>20</v>
      </c>
      <c r="C59" s="31" t="s">
        <v>313</v>
      </c>
      <c r="D59" s="31" t="s">
        <v>345</v>
      </c>
      <c r="E59" s="31" t="s">
        <v>239</v>
      </c>
      <c r="F59" s="33">
        <v>30156</v>
      </c>
      <c r="G59" s="31" t="s">
        <v>346</v>
      </c>
      <c r="H59" s="33">
        <v>30156</v>
      </c>
      <c r="I59" s="29" t="s">
        <v>130</v>
      </c>
      <c r="J59" s="28" t="s">
        <v>621</v>
      </c>
      <c r="K59" s="28">
        <f t="shared" si="1"/>
        <v>44</v>
      </c>
      <c r="L59" s="28" t="str">
        <f t="shared" si="2"/>
        <v>Greater Than 25</v>
      </c>
      <c r="M59" s="46" t="s">
        <v>650</v>
      </c>
      <c r="N59" s="28"/>
      <c r="O59">
        <f t="shared" si="3"/>
        <v>1.76</v>
      </c>
      <c r="P59" t="b">
        <f t="shared" si="4"/>
        <v>0</v>
      </c>
    </row>
    <row r="60" spans="1:16" x14ac:dyDescent="0.25">
      <c r="A60" s="29">
        <f t="shared" si="0"/>
        <v>59</v>
      </c>
      <c r="B60" s="30">
        <f>COUNTIF($C$2:C60,C60)</f>
        <v>21</v>
      </c>
      <c r="C60" s="31" t="s">
        <v>313</v>
      </c>
      <c r="D60" s="31" t="s">
        <v>347</v>
      </c>
      <c r="E60" s="31" t="s">
        <v>239</v>
      </c>
      <c r="F60" s="33">
        <v>31306</v>
      </c>
      <c r="G60" s="31" t="s">
        <v>348</v>
      </c>
      <c r="H60" s="33">
        <v>31329</v>
      </c>
      <c r="I60" s="29" t="s">
        <v>124</v>
      </c>
      <c r="J60" s="28" t="s">
        <v>347</v>
      </c>
      <c r="K60" s="28">
        <f t="shared" si="1"/>
        <v>41</v>
      </c>
      <c r="L60" s="28" t="str">
        <f t="shared" si="2"/>
        <v>Greater Than 25</v>
      </c>
      <c r="M60" s="46" t="s">
        <v>648</v>
      </c>
      <c r="N60" s="28"/>
      <c r="O60">
        <f t="shared" si="3"/>
        <v>1.64</v>
      </c>
      <c r="P60" t="b">
        <f t="shared" si="4"/>
        <v>0</v>
      </c>
    </row>
    <row r="61" spans="1:16" x14ac:dyDescent="0.25">
      <c r="A61" s="29">
        <f t="shared" si="0"/>
        <v>60</v>
      </c>
      <c r="B61" s="30">
        <f>COUNTIF($C$2:C61,C61)</f>
        <v>22</v>
      </c>
      <c r="C61" s="31" t="s">
        <v>313</v>
      </c>
      <c r="D61" s="31" t="s">
        <v>349</v>
      </c>
      <c r="E61" s="31" t="s">
        <v>239</v>
      </c>
      <c r="F61" s="33">
        <v>31306</v>
      </c>
      <c r="G61" s="31" t="s">
        <v>350</v>
      </c>
      <c r="H61" s="33">
        <v>31308</v>
      </c>
      <c r="I61" s="29" t="s">
        <v>130</v>
      </c>
      <c r="J61" s="28" t="s">
        <v>622</v>
      </c>
      <c r="K61" s="28">
        <f t="shared" si="1"/>
        <v>41</v>
      </c>
      <c r="L61" s="28" t="str">
        <f t="shared" si="2"/>
        <v>Greater Than 25</v>
      </c>
      <c r="M61" s="46" t="s">
        <v>648</v>
      </c>
      <c r="N61" s="28"/>
      <c r="O61">
        <f t="shared" si="3"/>
        <v>1.64</v>
      </c>
      <c r="P61" t="b">
        <f t="shared" si="4"/>
        <v>0</v>
      </c>
    </row>
    <row r="62" spans="1:16" x14ac:dyDescent="0.25">
      <c r="A62" s="29">
        <f t="shared" si="0"/>
        <v>61</v>
      </c>
      <c r="B62" s="30">
        <f>COUNTIF($C$2:C62,C62)</f>
        <v>23</v>
      </c>
      <c r="C62" s="31" t="s">
        <v>313</v>
      </c>
      <c r="D62" s="31" t="s">
        <v>351</v>
      </c>
      <c r="E62" s="31" t="s">
        <v>239</v>
      </c>
      <c r="F62" s="33">
        <v>31505</v>
      </c>
      <c r="G62" s="31" t="s">
        <v>352</v>
      </c>
      <c r="H62" s="33">
        <v>31530</v>
      </c>
      <c r="I62" s="29" t="s">
        <v>153</v>
      </c>
      <c r="J62" s="28" t="s">
        <v>623</v>
      </c>
      <c r="K62" s="28">
        <f t="shared" si="1"/>
        <v>40</v>
      </c>
      <c r="L62" s="28" t="str">
        <f t="shared" si="2"/>
        <v>Greater Than 25</v>
      </c>
      <c r="M62" s="46" t="s">
        <v>648</v>
      </c>
      <c r="N62" s="28"/>
      <c r="O62">
        <f t="shared" si="3"/>
        <v>1.6</v>
      </c>
      <c r="P62" t="b">
        <f t="shared" si="4"/>
        <v>0</v>
      </c>
    </row>
    <row r="63" spans="1:16" x14ac:dyDescent="0.25">
      <c r="A63" s="29">
        <f t="shared" si="0"/>
        <v>62</v>
      </c>
      <c r="B63" s="30">
        <f>COUNTIF($C$2:C63,C63)</f>
        <v>24</v>
      </c>
      <c r="C63" s="31" t="s">
        <v>313</v>
      </c>
      <c r="D63" s="31" t="s">
        <v>353</v>
      </c>
      <c r="E63" s="31" t="s">
        <v>239</v>
      </c>
      <c r="F63" s="33">
        <v>31976</v>
      </c>
      <c r="G63" s="31" t="s">
        <v>354</v>
      </c>
      <c r="H63" s="33">
        <v>32013</v>
      </c>
      <c r="I63" s="29" t="s">
        <v>126</v>
      </c>
      <c r="J63" s="28" t="s">
        <v>624</v>
      </c>
      <c r="K63" s="28">
        <f t="shared" si="1"/>
        <v>39</v>
      </c>
      <c r="L63" s="28" t="str">
        <f t="shared" si="2"/>
        <v>Greater Than 25</v>
      </c>
      <c r="M63" s="46" t="s">
        <v>648</v>
      </c>
      <c r="N63" s="28"/>
      <c r="O63">
        <f t="shared" si="3"/>
        <v>1.56</v>
      </c>
      <c r="P63" t="b">
        <f t="shared" si="4"/>
        <v>0</v>
      </c>
    </row>
    <row r="64" spans="1:16" x14ac:dyDescent="0.25">
      <c r="A64" s="29">
        <f t="shared" si="0"/>
        <v>63</v>
      </c>
      <c r="B64" s="30">
        <f>COUNTIF($C$2:C64,C64)</f>
        <v>25</v>
      </c>
      <c r="C64" s="31" t="s">
        <v>313</v>
      </c>
      <c r="D64" s="31" t="s">
        <v>355</v>
      </c>
      <c r="E64" s="31" t="s">
        <v>239</v>
      </c>
      <c r="F64" s="33">
        <v>32002</v>
      </c>
      <c r="G64" s="31" t="s">
        <v>356</v>
      </c>
      <c r="H64" s="33">
        <v>32002</v>
      </c>
      <c r="I64" s="29" t="s">
        <v>124</v>
      </c>
      <c r="J64" s="28" t="s">
        <v>355</v>
      </c>
      <c r="K64" s="28">
        <f t="shared" si="1"/>
        <v>39</v>
      </c>
      <c r="L64" s="28" t="str">
        <f t="shared" si="2"/>
        <v>Greater Than 25</v>
      </c>
      <c r="M64" s="46" t="s">
        <v>648</v>
      </c>
      <c r="N64" s="28"/>
      <c r="O64">
        <f t="shared" si="3"/>
        <v>1.56</v>
      </c>
      <c r="P64" t="b">
        <f t="shared" si="4"/>
        <v>0</v>
      </c>
    </row>
    <row r="65" spans="1:16" x14ac:dyDescent="0.25">
      <c r="A65" s="29">
        <f t="shared" si="0"/>
        <v>64</v>
      </c>
      <c r="B65" s="30">
        <f>COUNTIF($C$2:C65,C65)</f>
        <v>26</v>
      </c>
      <c r="C65" s="31" t="s">
        <v>313</v>
      </c>
      <c r="D65" s="31" t="s">
        <v>357</v>
      </c>
      <c r="E65" s="31" t="s">
        <v>239</v>
      </c>
      <c r="F65" s="33">
        <v>32142</v>
      </c>
      <c r="G65" s="31" t="s">
        <v>358</v>
      </c>
      <c r="H65" s="33">
        <v>32155</v>
      </c>
      <c r="I65" s="29" t="s">
        <v>126</v>
      </c>
      <c r="J65" s="28" t="s">
        <v>625</v>
      </c>
      <c r="K65" s="28">
        <f t="shared" si="1"/>
        <v>39</v>
      </c>
      <c r="L65" s="28" t="str">
        <f t="shared" si="2"/>
        <v>Greater Than 25</v>
      </c>
      <c r="M65" s="46" t="s">
        <v>650</v>
      </c>
      <c r="N65" s="28"/>
      <c r="O65">
        <f t="shared" si="3"/>
        <v>1.56</v>
      </c>
      <c r="P65" t="b">
        <f t="shared" si="4"/>
        <v>0</v>
      </c>
    </row>
    <row r="66" spans="1:16" x14ac:dyDescent="0.25">
      <c r="A66" s="29">
        <f t="shared" ref="A66:A129" si="5">ROW()-1</f>
        <v>65</v>
      </c>
      <c r="B66" s="30">
        <f>COUNTIF($C$2:C66,C66)</f>
        <v>27</v>
      </c>
      <c r="C66" s="31" t="s">
        <v>313</v>
      </c>
      <c r="D66" s="31" t="s">
        <v>359</v>
      </c>
      <c r="E66" s="31" t="s">
        <v>264</v>
      </c>
      <c r="F66" s="33">
        <v>32662</v>
      </c>
      <c r="G66" s="31" t="s">
        <v>360</v>
      </c>
      <c r="H66" s="33">
        <v>32688</v>
      </c>
      <c r="I66" s="29" t="s">
        <v>124</v>
      </c>
      <c r="J66" s="28" t="s">
        <v>359</v>
      </c>
      <c r="K66" s="28">
        <f t="shared" si="1"/>
        <v>37</v>
      </c>
      <c r="L66" s="28" t="str">
        <f t="shared" si="2"/>
        <v>Greater Than 25</v>
      </c>
      <c r="M66" s="46" t="s">
        <v>650</v>
      </c>
      <c r="N66" s="28"/>
      <c r="O66">
        <f t="shared" si="3"/>
        <v>1.48</v>
      </c>
      <c r="P66" t="b">
        <f t="shared" si="4"/>
        <v>0</v>
      </c>
    </row>
    <row r="67" spans="1:16" x14ac:dyDescent="0.25">
      <c r="A67" s="29">
        <f t="shared" si="5"/>
        <v>66</v>
      </c>
      <c r="B67" s="30">
        <f>COUNTIF($C$2:C67,C67)</f>
        <v>28</v>
      </c>
      <c r="C67" s="31" t="s">
        <v>313</v>
      </c>
      <c r="D67" s="31" t="s">
        <v>361</v>
      </c>
      <c r="E67" s="31" t="s">
        <v>264</v>
      </c>
      <c r="F67" s="33">
        <v>33147</v>
      </c>
      <c r="G67" s="31" t="s">
        <v>362</v>
      </c>
      <c r="H67" s="33">
        <v>33151</v>
      </c>
      <c r="I67" s="29" t="s">
        <v>124</v>
      </c>
      <c r="J67" s="28" t="s">
        <v>626</v>
      </c>
      <c r="K67" s="28">
        <f t="shared" ref="K67:K130" si="6">DATEDIF(F67,DATE(2027,3,31),"Y")</f>
        <v>36</v>
      </c>
      <c r="L67" s="28" t="str">
        <f t="shared" ref="L67:L130" si="7">"Greater Than "&amp;FLOOR(K67,25)</f>
        <v>Greater Than 25</v>
      </c>
      <c r="M67" s="46" t="s">
        <v>648</v>
      </c>
      <c r="N67" s="28"/>
      <c r="O67">
        <f t="shared" ref="O67:O130" si="8">K67/25</f>
        <v>1.44</v>
      </c>
      <c r="P67" t="b">
        <f t="shared" ref="P67:P130" si="9">MOD(O67,1)=0</f>
        <v>0</v>
      </c>
    </row>
    <row r="68" spans="1:16" x14ac:dyDescent="0.25">
      <c r="A68" s="29">
        <f t="shared" si="5"/>
        <v>67</v>
      </c>
      <c r="B68" s="30">
        <f>COUNTIF($C$2:C68,C68)</f>
        <v>29</v>
      </c>
      <c r="C68" s="31" t="s">
        <v>313</v>
      </c>
      <c r="D68" s="31" t="s">
        <v>363</v>
      </c>
      <c r="E68" s="31" t="s">
        <v>264</v>
      </c>
      <c r="F68" s="33">
        <v>37012</v>
      </c>
      <c r="G68" s="31" t="s">
        <v>364</v>
      </c>
      <c r="H68" s="33">
        <v>37021</v>
      </c>
      <c r="I68" s="29" t="s">
        <v>130</v>
      </c>
      <c r="J68" s="28" t="s">
        <v>363</v>
      </c>
      <c r="K68" s="28">
        <f t="shared" si="6"/>
        <v>25</v>
      </c>
      <c r="L68" s="28" t="str">
        <f t="shared" si="7"/>
        <v>Greater Than 25</v>
      </c>
      <c r="M68" s="46" t="s">
        <v>650</v>
      </c>
      <c r="N68" s="28"/>
      <c r="O68">
        <f t="shared" si="8"/>
        <v>1</v>
      </c>
      <c r="P68" s="2" t="b">
        <f t="shared" si="9"/>
        <v>1</v>
      </c>
    </row>
    <row r="69" spans="1:16" x14ac:dyDescent="0.25">
      <c r="A69" s="29">
        <f t="shared" si="5"/>
        <v>68</v>
      </c>
      <c r="B69" s="30">
        <f>COUNTIF($C$2:C69,C69)</f>
        <v>30</v>
      </c>
      <c r="C69" s="31" t="s">
        <v>313</v>
      </c>
      <c r="D69" s="31" t="s">
        <v>365</v>
      </c>
      <c r="E69" s="31" t="s">
        <v>264</v>
      </c>
      <c r="F69" s="33">
        <v>38842</v>
      </c>
      <c r="G69" s="31" t="s">
        <v>366</v>
      </c>
      <c r="H69" s="33">
        <v>38868</v>
      </c>
      <c r="I69" s="29" t="s">
        <v>325</v>
      </c>
      <c r="J69" s="28" t="s">
        <v>365</v>
      </c>
      <c r="K69" s="28">
        <f t="shared" si="6"/>
        <v>20</v>
      </c>
      <c r="L69" s="28" t="str">
        <f t="shared" si="7"/>
        <v>Greater Than 0</v>
      </c>
      <c r="M69" s="46" t="s">
        <v>650</v>
      </c>
      <c r="N69" s="28"/>
      <c r="O69">
        <f t="shared" si="8"/>
        <v>0.8</v>
      </c>
      <c r="P69" t="b">
        <f t="shared" si="9"/>
        <v>0</v>
      </c>
    </row>
    <row r="70" spans="1:16" x14ac:dyDescent="0.25">
      <c r="A70" s="29">
        <f t="shared" si="5"/>
        <v>69</v>
      </c>
      <c r="B70" s="30">
        <f>COUNTIF($C$2:C70,C70)</f>
        <v>31</v>
      </c>
      <c r="C70" s="31" t="s">
        <v>313</v>
      </c>
      <c r="D70" s="31" t="s">
        <v>367</v>
      </c>
      <c r="E70" s="31" t="s">
        <v>264</v>
      </c>
      <c r="F70" s="33">
        <v>38968</v>
      </c>
      <c r="G70" s="31" t="s">
        <v>368</v>
      </c>
      <c r="H70" s="33">
        <v>38987</v>
      </c>
      <c r="I70" s="29" t="s">
        <v>130</v>
      </c>
      <c r="J70" s="28" t="s">
        <v>627</v>
      </c>
      <c r="K70" s="28">
        <f t="shared" si="6"/>
        <v>20</v>
      </c>
      <c r="L70" s="28" t="str">
        <f t="shared" si="7"/>
        <v>Greater Than 0</v>
      </c>
      <c r="M70" s="46" t="s">
        <v>648</v>
      </c>
      <c r="N70" s="28"/>
      <c r="O70">
        <f t="shared" si="8"/>
        <v>0.8</v>
      </c>
      <c r="P70" t="b">
        <f t="shared" si="9"/>
        <v>0</v>
      </c>
    </row>
    <row r="71" spans="1:16" x14ac:dyDescent="0.25">
      <c r="A71" s="29">
        <f t="shared" si="5"/>
        <v>70</v>
      </c>
      <c r="B71" s="30">
        <f>COUNTIF($C$2:C71,C71)</f>
        <v>32</v>
      </c>
      <c r="C71" s="31" t="s">
        <v>313</v>
      </c>
      <c r="D71" s="31" t="s">
        <v>369</v>
      </c>
      <c r="E71" s="31" t="s">
        <v>264</v>
      </c>
      <c r="F71" s="33">
        <v>38968</v>
      </c>
      <c r="G71" s="31" t="s">
        <v>370</v>
      </c>
      <c r="H71" s="33">
        <v>38987</v>
      </c>
      <c r="I71" s="29" t="s">
        <v>325</v>
      </c>
      <c r="J71" s="28" t="s">
        <v>369</v>
      </c>
      <c r="K71" s="28">
        <f t="shared" si="6"/>
        <v>20</v>
      </c>
      <c r="L71" s="28" t="str">
        <f t="shared" si="7"/>
        <v>Greater Than 0</v>
      </c>
      <c r="M71" s="46" t="s">
        <v>650</v>
      </c>
      <c r="N71" s="28"/>
      <c r="O71">
        <f t="shared" si="8"/>
        <v>0.8</v>
      </c>
      <c r="P71" t="b">
        <f t="shared" si="9"/>
        <v>0</v>
      </c>
    </row>
    <row r="72" spans="1:16" x14ac:dyDescent="0.25">
      <c r="A72" s="29">
        <f t="shared" si="5"/>
        <v>71</v>
      </c>
      <c r="B72" s="30">
        <f>COUNTIF($C$2:C72,C72)</f>
        <v>33</v>
      </c>
      <c r="C72" s="31" t="s">
        <v>313</v>
      </c>
      <c r="D72" s="31" t="s">
        <v>371</v>
      </c>
      <c r="E72" s="31" t="s">
        <v>264</v>
      </c>
      <c r="F72" s="33">
        <v>39073</v>
      </c>
      <c r="G72" s="31" t="s">
        <v>372</v>
      </c>
      <c r="H72" s="33">
        <v>39084</v>
      </c>
      <c r="I72" s="29" t="s">
        <v>325</v>
      </c>
      <c r="J72" s="28" t="s">
        <v>371</v>
      </c>
      <c r="K72" s="28">
        <f t="shared" si="6"/>
        <v>20</v>
      </c>
      <c r="L72" s="28" t="str">
        <f t="shared" si="7"/>
        <v>Greater Than 0</v>
      </c>
      <c r="M72" s="46" t="s">
        <v>650</v>
      </c>
      <c r="N72" s="28"/>
      <c r="O72">
        <f t="shared" si="8"/>
        <v>0.8</v>
      </c>
      <c r="P72" t="b">
        <f t="shared" si="9"/>
        <v>0</v>
      </c>
    </row>
    <row r="73" spans="1:16" x14ac:dyDescent="0.25">
      <c r="A73" s="29">
        <f t="shared" si="5"/>
        <v>72</v>
      </c>
      <c r="B73" s="30">
        <f>COUNTIF($C$2:C73,C73)</f>
        <v>34</v>
      </c>
      <c r="C73" s="31" t="s">
        <v>313</v>
      </c>
      <c r="D73" s="31" t="s">
        <v>373</v>
      </c>
      <c r="E73" s="31" t="s">
        <v>264</v>
      </c>
      <c r="F73" s="33">
        <v>40191</v>
      </c>
      <c r="G73" s="31" t="s">
        <v>374</v>
      </c>
      <c r="H73" s="33">
        <v>40211</v>
      </c>
      <c r="I73" s="29" t="s">
        <v>325</v>
      </c>
      <c r="J73" s="28" t="s">
        <v>159</v>
      </c>
      <c r="K73" s="28">
        <f t="shared" si="6"/>
        <v>17</v>
      </c>
      <c r="L73" s="28" t="str">
        <f t="shared" si="7"/>
        <v>Greater Than 0</v>
      </c>
      <c r="M73" s="46" t="s">
        <v>652</v>
      </c>
      <c r="N73" s="28"/>
      <c r="O73">
        <f t="shared" si="8"/>
        <v>0.68</v>
      </c>
      <c r="P73" t="b">
        <f t="shared" si="9"/>
        <v>0</v>
      </c>
    </row>
    <row r="74" spans="1:16" x14ac:dyDescent="0.25">
      <c r="A74" s="29">
        <f t="shared" si="5"/>
        <v>73</v>
      </c>
      <c r="B74" s="30">
        <f>COUNTIF($C$2:C74,C74)</f>
        <v>35</v>
      </c>
      <c r="C74" s="31" t="s">
        <v>313</v>
      </c>
      <c r="D74" s="31" t="s">
        <v>375</v>
      </c>
      <c r="E74" s="31" t="s">
        <v>264</v>
      </c>
      <c r="F74" s="33">
        <v>40856</v>
      </c>
      <c r="G74" s="31" t="s">
        <v>376</v>
      </c>
      <c r="H74" s="33">
        <v>40917</v>
      </c>
      <c r="I74" s="29" t="s">
        <v>124</v>
      </c>
      <c r="J74" s="28" t="s">
        <v>375</v>
      </c>
      <c r="K74" s="28">
        <f t="shared" si="6"/>
        <v>15</v>
      </c>
      <c r="L74" s="28" t="str">
        <f t="shared" si="7"/>
        <v>Greater Than 0</v>
      </c>
      <c r="M74" s="46" t="s">
        <v>648</v>
      </c>
      <c r="N74" s="28"/>
      <c r="O74">
        <f t="shared" si="8"/>
        <v>0.6</v>
      </c>
      <c r="P74" t="b">
        <f t="shared" si="9"/>
        <v>0</v>
      </c>
    </row>
    <row r="75" spans="1:16" x14ac:dyDescent="0.25">
      <c r="A75" s="29">
        <f t="shared" si="5"/>
        <v>74</v>
      </c>
      <c r="B75" s="30">
        <f>COUNTIF($C$2:C75,C75)</f>
        <v>36</v>
      </c>
      <c r="C75" s="31" t="s">
        <v>313</v>
      </c>
      <c r="D75" s="31" t="s">
        <v>377</v>
      </c>
      <c r="E75" s="31" t="s">
        <v>264</v>
      </c>
      <c r="F75" s="33">
        <v>40904</v>
      </c>
      <c r="G75" s="31" t="s">
        <v>378</v>
      </c>
      <c r="H75" s="33">
        <v>40917</v>
      </c>
      <c r="I75" s="29" t="s">
        <v>126</v>
      </c>
      <c r="J75" s="28" t="s">
        <v>377</v>
      </c>
      <c r="K75" s="28">
        <f t="shared" si="6"/>
        <v>15</v>
      </c>
      <c r="L75" s="28" t="str">
        <f t="shared" si="7"/>
        <v>Greater Than 0</v>
      </c>
      <c r="M75" s="46" t="s">
        <v>650</v>
      </c>
      <c r="N75" s="28"/>
      <c r="O75">
        <f t="shared" si="8"/>
        <v>0.6</v>
      </c>
      <c r="P75" t="b">
        <f t="shared" si="9"/>
        <v>0</v>
      </c>
    </row>
    <row r="76" spans="1:16" x14ac:dyDescent="0.25">
      <c r="A76" s="29">
        <f t="shared" si="5"/>
        <v>75</v>
      </c>
      <c r="B76" s="30">
        <f>COUNTIF($C$2:C76,C76)</f>
        <v>37</v>
      </c>
      <c r="C76" s="31" t="s">
        <v>313</v>
      </c>
      <c r="D76" s="31" t="s">
        <v>379</v>
      </c>
      <c r="E76" s="31" t="s">
        <v>291</v>
      </c>
      <c r="F76" s="33">
        <v>41642</v>
      </c>
      <c r="G76" s="31" t="s">
        <v>380</v>
      </c>
      <c r="H76" s="33">
        <v>41645</v>
      </c>
      <c r="I76" s="29" t="s">
        <v>140</v>
      </c>
      <c r="J76" s="28" t="s">
        <v>379</v>
      </c>
      <c r="K76" s="28">
        <f t="shared" si="6"/>
        <v>13</v>
      </c>
      <c r="L76" s="28" t="str">
        <f t="shared" si="7"/>
        <v>Greater Than 0</v>
      </c>
      <c r="M76" s="46" t="s">
        <v>650</v>
      </c>
      <c r="N76" s="28"/>
      <c r="O76">
        <f t="shared" si="8"/>
        <v>0.52</v>
      </c>
      <c r="P76" t="b">
        <f t="shared" si="9"/>
        <v>0</v>
      </c>
    </row>
    <row r="77" spans="1:16" x14ac:dyDescent="0.25">
      <c r="A77" s="29">
        <f t="shared" si="5"/>
        <v>76</v>
      </c>
      <c r="B77" s="30">
        <f>COUNTIF($C$2:C77,C77)</f>
        <v>38</v>
      </c>
      <c r="C77" s="31" t="s">
        <v>313</v>
      </c>
      <c r="D77" s="31" t="s">
        <v>381</v>
      </c>
      <c r="E77" s="31" t="s">
        <v>291</v>
      </c>
      <c r="F77" s="33">
        <v>41642</v>
      </c>
      <c r="G77" s="31" t="s">
        <v>382</v>
      </c>
      <c r="H77" s="33">
        <v>41645</v>
      </c>
      <c r="I77" s="29" t="s">
        <v>317</v>
      </c>
      <c r="J77" s="28" t="s">
        <v>381</v>
      </c>
      <c r="K77" s="28">
        <f t="shared" si="6"/>
        <v>13</v>
      </c>
      <c r="L77" s="28" t="str">
        <f t="shared" si="7"/>
        <v>Greater Than 0</v>
      </c>
      <c r="M77" s="46" t="s">
        <v>648</v>
      </c>
      <c r="N77" s="28"/>
      <c r="O77">
        <f t="shared" si="8"/>
        <v>0.52</v>
      </c>
      <c r="P77" t="b">
        <f t="shared" si="9"/>
        <v>0</v>
      </c>
    </row>
    <row r="78" spans="1:16" x14ac:dyDescent="0.25">
      <c r="A78" s="29">
        <f t="shared" si="5"/>
        <v>77</v>
      </c>
      <c r="B78" s="30">
        <f>COUNTIF($C$2:C78,C78)</f>
        <v>39</v>
      </c>
      <c r="C78" s="31" t="s">
        <v>313</v>
      </c>
      <c r="D78" s="31" t="s">
        <v>383</v>
      </c>
      <c r="E78" s="31" t="s">
        <v>264</v>
      </c>
      <c r="F78" s="33">
        <v>41642</v>
      </c>
      <c r="G78" s="31" t="s">
        <v>384</v>
      </c>
      <c r="H78" s="33">
        <v>41645</v>
      </c>
      <c r="I78" s="29" t="s">
        <v>325</v>
      </c>
      <c r="J78" s="28" t="s">
        <v>383</v>
      </c>
      <c r="K78" s="28">
        <f t="shared" si="6"/>
        <v>13</v>
      </c>
      <c r="L78" s="28" t="str">
        <f t="shared" si="7"/>
        <v>Greater Than 0</v>
      </c>
      <c r="M78" s="46" t="s">
        <v>650</v>
      </c>
      <c r="N78" s="28"/>
      <c r="O78">
        <f t="shared" si="8"/>
        <v>0.52</v>
      </c>
      <c r="P78" t="b">
        <f t="shared" si="9"/>
        <v>0</v>
      </c>
    </row>
    <row r="79" spans="1:16" x14ac:dyDescent="0.25">
      <c r="A79" s="29">
        <f t="shared" si="5"/>
        <v>78</v>
      </c>
      <c r="B79" s="30">
        <f>COUNTIF($C$2:C79,C79)</f>
        <v>40</v>
      </c>
      <c r="C79" s="31" t="s">
        <v>313</v>
      </c>
      <c r="D79" s="31" t="s">
        <v>385</v>
      </c>
      <c r="E79" s="31" t="s">
        <v>291</v>
      </c>
      <c r="F79" s="33">
        <v>41680</v>
      </c>
      <c r="G79" s="31" t="s">
        <v>386</v>
      </c>
      <c r="H79" s="33">
        <v>41680</v>
      </c>
      <c r="I79" s="29" t="s">
        <v>325</v>
      </c>
      <c r="J79" s="28" t="s">
        <v>385</v>
      </c>
      <c r="K79" s="28">
        <f t="shared" si="6"/>
        <v>13</v>
      </c>
      <c r="L79" s="28" t="str">
        <f t="shared" si="7"/>
        <v>Greater Than 0</v>
      </c>
      <c r="M79" s="46" t="s">
        <v>650</v>
      </c>
      <c r="N79" s="28"/>
      <c r="O79">
        <f t="shared" si="8"/>
        <v>0.52</v>
      </c>
      <c r="P79" t="b">
        <f t="shared" si="9"/>
        <v>0</v>
      </c>
    </row>
    <row r="80" spans="1:16" x14ac:dyDescent="0.25">
      <c r="A80" s="29">
        <f t="shared" si="5"/>
        <v>79</v>
      </c>
      <c r="B80" s="30">
        <f>COUNTIF($C$2:C80,C80)</f>
        <v>41</v>
      </c>
      <c r="C80" s="31" t="s">
        <v>313</v>
      </c>
      <c r="D80" s="31" t="s">
        <v>387</v>
      </c>
      <c r="E80" s="31" t="s">
        <v>291</v>
      </c>
      <c r="F80" s="33">
        <v>41720</v>
      </c>
      <c r="G80" s="31" t="s">
        <v>388</v>
      </c>
      <c r="H80" s="33">
        <v>41733</v>
      </c>
      <c r="I80" s="29" t="s">
        <v>325</v>
      </c>
      <c r="J80" s="28" t="s">
        <v>387</v>
      </c>
      <c r="K80" s="28">
        <f t="shared" si="6"/>
        <v>13</v>
      </c>
      <c r="L80" s="28" t="str">
        <f t="shared" si="7"/>
        <v>Greater Than 0</v>
      </c>
      <c r="M80" s="46" t="s">
        <v>650</v>
      </c>
      <c r="N80" s="28"/>
      <c r="O80">
        <f t="shared" si="8"/>
        <v>0.52</v>
      </c>
      <c r="P80" t="b">
        <f t="shared" si="9"/>
        <v>0</v>
      </c>
    </row>
    <row r="81" spans="1:16" x14ac:dyDescent="0.25">
      <c r="A81" s="29">
        <f t="shared" si="5"/>
        <v>80</v>
      </c>
      <c r="B81" s="30">
        <f>COUNTIF($C$2:C81,C81)</f>
        <v>42</v>
      </c>
      <c r="C81" s="31" t="s">
        <v>313</v>
      </c>
      <c r="D81" s="31" t="s">
        <v>389</v>
      </c>
      <c r="E81" s="31" t="s">
        <v>291</v>
      </c>
      <c r="F81" s="33">
        <v>42045</v>
      </c>
      <c r="G81" s="31" t="s">
        <v>390</v>
      </c>
      <c r="H81" s="33">
        <v>42100</v>
      </c>
      <c r="I81" s="29" t="s">
        <v>130</v>
      </c>
      <c r="J81" s="28" t="s">
        <v>171</v>
      </c>
      <c r="K81" s="28">
        <f t="shared" si="6"/>
        <v>12</v>
      </c>
      <c r="L81" s="28" t="str">
        <f t="shared" si="7"/>
        <v>Greater Than 0</v>
      </c>
      <c r="M81" s="46" t="s">
        <v>648</v>
      </c>
      <c r="N81" s="28"/>
      <c r="O81">
        <f t="shared" si="8"/>
        <v>0.48</v>
      </c>
      <c r="P81" t="b">
        <f t="shared" si="9"/>
        <v>0</v>
      </c>
    </row>
    <row r="82" spans="1:16" x14ac:dyDescent="0.25">
      <c r="A82" s="29">
        <f t="shared" si="5"/>
        <v>81</v>
      </c>
      <c r="B82" s="30">
        <f>COUNTIF($C$2:C82,C82)</f>
        <v>43</v>
      </c>
      <c r="C82" s="31" t="s">
        <v>313</v>
      </c>
      <c r="D82" s="32" t="s">
        <v>391</v>
      </c>
      <c r="E82" s="31" t="s">
        <v>291</v>
      </c>
      <c r="F82" s="33">
        <v>42230</v>
      </c>
      <c r="G82" s="31" t="s">
        <v>392</v>
      </c>
      <c r="H82" s="33">
        <v>42468</v>
      </c>
      <c r="I82" s="29" t="s">
        <v>124</v>
      </c>
      <c r="J82" s="28" t="s">
        <v>628</v>
      </c>
      <c r="K82" s="28">
        <f t="shared" si="6"/>
        <v>11</v>
      </c>
      <c r="L82" s="28" t="str">
        <f t="shared" si="7"/>
        <v>Greater Than 0</v>
      </c>
      <c r="M82" s="46" t="s">
        <v>654</v>
      </c>
      <c r="N82" s="28"/>
      <c r="O82">
        <f t="shared" si="8"/>
        <v>0.44</v>
      </c>
      <c r="P82" t="b">
        <f t="shared" si="9"/>
        <v>0</v>
      </c>
    </row>
    <row r="83" spans="1:16" x14ac:dyDescent="0.25">
      <c r="A83" s="29">
        <f t="shared" si="5"/>
        <v>82</v>
      </c>
      <c r="B83" s="30">
        <f>COUNTIF($C$2:C83,C83)</f>
        <v>44</v>
      </c>
      <c r="C83" s="31" t="s">
        <v>313</v>
      </c>
      <c r="D83" s="31" t="s">
        <v>393</v>
      </c>
      <c r="E83" s="31" t="s">
        <v>291</v>
      </c>
      <c r="F83" s="33">
        <v>42230</v>
      </c>
      <c r="G83" s="31" t="s">
        <v>394</v>
      </c>
      <c r="H83" s="33">
        <v>42237</v>
      </c>
      <c r="I83" s="29" t="s">
        <v>325</v>
      </c>
      <c r="J83" s="28" t="s">
        <v>393</v>
      </c>
      <c r="K83" s="28">
        <f t="shared" si="6"/>
        <v>11</v>
      </c>
      <c r="L83" s="28" t="str">
        <f t="shared" si="7"/>
        <v>Greater Than 0</v>
      </c>
      <c r="M83" s="46" t="s">
        <v>650</v>
      </c>
      <c r="N83" s="28"/>
      <c r="O83">
        <f t="shared" si="8"/>
        <v>0.44</v>
      </c>
      <c r="P83" t="b">
        <f t="shared" si="9"/>
        <v>0</v>
      </c>
    </row>
    <row r="84" spans="1:16" x14ac:dyDescent="0.25">
      <c r="A84" s="29">
        <f t="shared" si="5"/>
        <v>83</v>
      </c>
      <c r="B84" s="30">
        <f>COUNTIF($C$2:C84,C84)</f>
        <v>45</v>
      </c>
      <c r="C84" s="31" t="s">
        <v>313</v>
      </c>
      <c r="D84" s="32" t="s">
        <v>395</v>
      </c>
      <c r="E84" s="31" t="s">
        <v>291</v>
      </c>
      <c r="F84" s="33">
        <v>42774</v>
      </c>
      <c r="G84" s="31" t="s">
        <v>396</v>
      </c>
      <c r="H84" s="33">
        <v>42776</v>
      </c>
      <c r="I84" s="29" t="s">
        <v>325</v>
      </c>
      <c r="J84" s="28" t="s">
        <v>395</v>
      </c>
      <c r="K84" s="28">
        <f t="shared" si="6"/>
        <v>10</v>
      </c>
      <c r="L84" s="28" t="str">
        <f t="shared" si="7"/>
        <v>Greater Than 0</v>
      </c>
      <c r="M84" s="46" t="s">
        <v>650</v>
      </c>
      <c r="N84" s="28"/>
      <c r="O84">
        <f t="shared" si="8"/>
        <v>0.4</v>
      </c>
      <c r="P84" t="b">
        <f t="shared" si="9"/>
        <v>0</v>
      </c>
    </row>
    <row r="85" spans="1:16" x14ac:dyDescent="0.25">
      <c r="A85" s="29">
        <f t="shared" si="5"/>
        <v>84</v>
      </c>
      <c r="B85" s="30">
        <f>COUNTIF($C$2:C85,C85)</f>
        <v>46</v>
      </c>
      <c r="C85" s="31" t="s">
        <v>313</v>
      </c>
      <c r="D85" s="31" t="s">
        <v>397</v>
      </c>
      <c r="E85" s="31" t="s">
        <v>291</v>
      </c>
      <c r="F85" s="33">
        <v>45518</v>
      </c>
      <c r="G85" s="31" t="s">
        <v>398</v>
      </c>
      <c r="H85" s="33">
        <v>45524</v>
      </c>
      <c r="I85" s="29" t="s">
        <v>325</v>
      </c>
      <c r="J85" s="28" t="s">
        <v>397</v>
      </c>
      <c r="K85" s="28">
        <f t="shared" si="6"/>
        <v>2</v>
      </c>
      <c r="L85" s="28" t="str">
        <f t="shared" si="7"/>
        <v>Greater Than 0</v>
      </c>
      <c r="M85" s="46" t="s">
        <v>648</v>
      </c>
      <c r="N85" s="28"/>
      <c r="O85">
        <f t="shared" si="8"/>
        <v>0.08</v>
      </c>
      <c r="P85" t="b">
        <f t="shared" si="9"/>
        <v>0</v>
      </c>
    </row>
    <row r="86" spans="1:16" x14ac:dyDescent="0.25">
      <c r="A86" s="29">
        <f t="shared" si="5"/>
        <v>85</v>
      </c>
      <c r="B86" s="30">
        <f>COUNTIF($C$2:C86,C86)</f>
        <v>47</v>
      </c>
      <c r="C86" s="31" t="s">
        <v>313</v>
      </c>
      <c r="D86" s="31" t="s">
        <v>399</v>
      </c>
      <c r="E86" s="31" t="s">
        <v>264</v>
      </c>
      <c r="F86" s="33">
        <v>45804</v>
      </c>
      <c r="G86" s="31" t="s">
        <v>400</v>
      </c>
      <c r="H86" s="33">
        <v>45814</v>
      </c>
      <c r="I86" s="29" t="s">
        <v>140</v>
      </c>
      <c r="J86" s="28" t="s">
        <v>175</v>
      </c>
      <c r="K86" s="28">
        <f t="shared" si="6"/>
        <v>1</v>
      </c>
      <c r="L86" s="28" t="str">
        <f t="shared" si="7"/>
        <v>Greater Than 0</v>
      </c>
      <c r="M86" s="46" t="s">
        <v>648</v>
      </c>
      <c r="N86" s="28" t="s">
        <v>665</v>
      </c>
      <c r="O86">
        <f t="shared" si="8"/>
        <v>0.04</v>
      </c>
      <c r="P86" t="b">
        <f t="shared" si="9"/>
        <v>0</v>
      </c>
    </row>
    <row r="87" spans="1:16" x14ac:dyDescent="0.25">
      <c r="A87" s="29">
        <f t="shared" si="5"/>
        <v>86</v>
      </c>
      <c r="B87" s="30">
        <f>COUNTIF($C$2:C87,C87)</f>
        <v>48</v>
      </c>
      <c r="C87" s="31" t="s">
        <v>313</v>
      </c>
      <c r="D87" s="31" t="s">
        <v>401</v>
      </c>
      <c r="E87" s="31" t="s">
        <v>264</v>
      </c>
      <c r="F87" s="33">
        <v>45804</v>
      </c>
      <c r="G87" s="31" t="s">
        <v>402</v>
      </c>
      <c r="H87" s="33">
        <v>45814</v>
      </c>
      <c r="I87" s="29" t="s">
        <v>140</v>
      </c>
      <c r="J87" s="28" t="s">
        <v>176</v>
      </c>
      <c r="K87" s="28">
        <f t="shared" si="6"/>
        <v>1</v>
      </c>
      <c r="L87" s="28" t="str">
        <f t="shared" si="7"/>
        <v>Greater Than 0</v>
      </c>
      <c r="M87" s="46" t="s">
        <v>648</v>
      </c>
      <c r="N87" s="28" t="s">
        <v>665</v>
      </c>
      <c r="O87">
        <f t="shared" si="8"/>
        <v>0.04</v>
      </c>
      <c r="P87" t="b">
        <f t="shared" si="9"/>
        <v>0</v>
      </c>
    </row>
    <row r="88" spans="1:16" x14ac:dyDescent="0.25">
      <c r="A88" s="21">
        <f t="shared" si="5"/>
        <v>87</v>
      </c>
      <c r="B88" s="22">
        <f>COUNTIF($C$2:C88,C88)</f>
        <v>1</v>
      </c>
      <c r="C88" s="23" t="s">
        <v>403</v>
      </c>
      <c r="D88" s="24" t="s">
        <v>404</v>
      </c>
      <c r="E88" s="25" t="s">
        <v>239</v>
      </c>
      <c r="F88" s="26">
        <v>27282</v>
      </c>
      <c r="G88" s="24" t="s">
        <v>405</v>
      </c>
      <c r="H88" s="26">
        <v>27289</v>
      </c>
      <c r="I88" s="27" t="s">
        <v>77</v>
      </c>
      <c r="J88" s="28" t="s">
        <v>404</v>
      </c>
      <c r="K88" s="28">
        <f t="shared" si="6"/>
        <v>52</v>
      </c>
      <c r="L88" s="28" t="str">
        <f t="shared" si="7"/>
        <v>Greater Than 50</v>
      </c>
      <c r="M88" s="46" t="s">
        <v>648</v>
      </c>
      <c r="N88" s="28"/>
      <c r="O88">
        <f t="shared" si="8"/>
        <v>2.08</v>
      </c>
      <c r="P88" t="b">
        <f t="shared" si="9"/>
        <v>0</v>
      </c>
    </row>
    <row r="89" spans="1:16" x14ac:dyDescent="0.25">
      <c r="A89" s="29">
        <f t="shared" si="5"/>
        <v>88</v>
      </c>
      <c r="B89" s="30">
        <f>COUNTIF($C$2:C89,C89)</f>
        <v>2</v>
      </c>
      <c r="C89" s="31" t="s">
        <v>403</v>
      </c>
      <c r="D89" s="31" t="s">
        <v>406</v>
      </c>
      <c r="E89" s="31" t="s">
        <v>239</v>
      </c>
      <c r="F89" s="33">
        <v>28384</v>
      </c>
      <c r="G89" s="31" t="s">
        <v>407</v>
      </c>
      <c r="H89" s="33">
        <v>28420</v>
      </c>
      <c r="I89" s="29" t="s">
        <v>83</v>
      </c>
      <c r="J89" s="28" t="s">
        <v>406</v>
      </c>
      <c r="K89" s="28">
        <f t="shared" si="6"/>
        <v>49</v>
      </c>
      <c r="L89" s="28" t="str">
        <f t="shared" si="7"/>
        <v>Greater Than 25</v>
      </c>
      <c r="M89" s="46" t="s">
        <v>652</v>
      </c>
      <c r="N89" s="28"/>
      <c r="O89">
        <f t="shared" si="8"/>
        <v>1.96</v>
      </c>
      <c r="P89" t="b">
        <f t="shared" si="9"/>
        <v>0</v>
      </c>
    </row>
    <row r="90" spans="1:16" x14ac:dyDescent="0.25">
      <c r="A90" s="29">
        <f t="shared" si="5"/>
        <v>89</v>
      </c>
      <c r="B90" s="30">
        <f>COUNTIF($C$2:C90,C90)</f>
        <v>3</v>
      </c>
      <c r="C90" s="31" t="s">
        <v>403</v>
      </c>
      <c r="D90" s="35" t="s">
        <v>408</v>
      </c>
      <c r="E90" s="31" t="s">
        <v>239</v>
      </c>
      <c r="F90" s="33">
        <v>29114</v>
      </c>
      <c r="G90" s="31" t="s">
        <v>409</v>
      </c>
      <c r="H90" s="33">
        <v>29209</v>
      </c>
      <c r="I90" s="29" t="s">
        <v>80</v>
      </c>
      <c r="J90" s="28" t="s">
        <v>79</v>
      </c>
      <c r="K90" s="28">
        <f t="shared" si="6"/>
        <v>47</v>
      </c>
      <c r="L90" s="28" t="str">
        <f t="shared" si="7"/>
        <v>Greater Than 25</v>
      </c>
      <c r="M90" s="46" t="s">
        <v>652</v>
      </c>
      <c r="N90" s="28"/>
      <c r="O90">
        <f t="shared" si="8"/>
        <v>1.88</v>
      </c>
      <c r="P90" t="b">
        <f t="shared" si="9"/>
        <v>0</v>
      </c>
    </row>
    <row r="91" spans="1:16" x14ac:dyDescent="0.25">
      <c r="A91" s="29">
        <f t="shared" si="5"/>
        <v>90</v>
      </c>
      <c r="B91" s="30">
        <f>COUNTIF($C$2:C91,C91)</f>
        <v>4</v>
      </c>
      <c r="C91" s="31" t="s">
        <v>403</v>
      </c>
      <c r="D91" s="31" t="s">
        <v>410</v>
      </c>
      <c r="E91" s="31" t="s">
        <v>264</v>
      </c>
      <c r="F91" s="33">
        <v>32862</v>
      </c>
      <c r="G91" s="31" t="s">
        <v>411</v>
      </c>
      <c r="H91" s="33">
        <v>32911</v>
      </c>
      <c r="I91" s="29" t="s">
        <v>80</v>
      </c>
      <c r="J91" s="28" t="s">
        <v>410</v>
      </c>
      <c r="K91" s="28">
        <f t="shared" si="6"/>
        <v>37</v>
      </c>
      <c r="L91" s="28" t="str">
        <f t="shared" si="7"/>
        <v>Greater Than 25</v>
      </c>
      <c r="M91" s="46" t="s">
        <v>648</v>
      </c>
      <c r="N91" s="28"/>
      <c r="O91">
        <f t="shared" si="8"/>
        <v>1.48</v>
      </c>
      <c r="P91" t="b">
        <f t="shared" si="9"/>
        <v>0</v>
      </c>
    </row>
    <row r="92" spans="1:16" x14ac:dyDescent="0.25">
      <c r="A92" s="29">
        <f t="shared" si="5"/>
        <v>91</v>
      </c>
      <c r="B92" s="30">
        <f>COUNTIF($C$2:C92,C92)</f>
        <v>5</v>
      </c>
      <c r="C92" s="31" t="s">
        <v>403</v>
      </c>
      <c r="D92" s="35" t="s">
        <v>412</v>
      </c>
      <c r="E92" s="31" t="s">
        <v>264</v>
      </c>
      <c r="F92" s="33">
        <v>32940</v>
      </c>
      <c r="G92" s="31" t="s">
        <v>413</v>
      </c>
      <c r="H92" s="33">
        <v>32980</v>
      </c>
      <c r="I92" s="29" t="s">
        <v>77</v>
      </c>
      <c r="J92" s="28" t="s">
        <v>412</v>
      </c>
      <c r="K92" s="28">
        <f t="shared" si="6"/>
        <v>37</v>
      </c>
      <c r="L92" s="28" t="str">
        <f t="shared" si="7"/>
        <v>Greater Than 25</v>
      </c>
      <c r="M92" s="46" t="s">
        <v>648</v>
      </c>
      <c r="N92" s="28"/>
      <c r="O92">
        <f t="shared" si="8"/>
        <v>1.48</v>
      </c>
      <c r="P92" t="b">
        <f t="shared" si="9"/>
        <v>0</v>
      </c>
    </row>
    <row r="93" spans="1:16" x14ac:dyDescent="0.25">
      <c r="A93" s="29">
        <f t="shared" si="5"/>
        <v>92</v>
      </c>
      <c r="B93" s="30">
        <f>COUNTIF($C$2:C93,C93)</f>
        <v>6</v>
      </c>
      <c r="C93" s="31" t="s">
        <v>403</v>
      </c>
      <c r="D93" s="31" t="s">
        <v>414</v>
      </c>
      <c r="E93" s="31" t="s">
        <v>264</v>
      </c>
      <c r="F93" s="33">
        <v>33147</v>
      </c>
      <c r="G93" s="31" t="s">
        <v>415</v>
      </c>
      <c r="H93" s="33">
        <v>33151</v>
      </c>
      <c r="I93" s="29" t="s">
        <v>77</v>
      </c>
      <c r="J93" s="28" t="s">
        <v>414</v>
      </c>
      <c r="K93" s="28">
        <f t="shared" si="6"/>
        <v>36</v>
      </c>
      <c r="L93" s="28" t="str">
        <f t="shared" si="7"/>
        <v>Greater Than 25</v>
      </c>
      <c r="M93" s="46" t="s">
        <v>650</v>
      </c>
      <c r="N93" s="28"/>
      <c r="O93">
        <f t="shared" si="8"/>
        <v>1.44</v>
      </c>
      <c r="P93" t="b">
        <f t="shared" si="9"/>
        <v>0</v>
      </c>
    </row>
    <row r="94" spans="1:16" x14ac:dyDescent="0.25">
      <c r="A94" s="29">
        <f t="shared" si="5"/>
        <v>93</v>
      </c>
      <c r="B94" s="30">
        <f>COUNTIF($C$2:C94,C94)</f>
        <v>7</v>
      </c>
      <c r="C94" s="31" t="s">
        <v>403</v>
      </c>
      <c r="D94" s="31" t="s">
        <v>416</v>
      </c>
      <c r="E94" s="31" t="s">
        <v>264</v>
      </c>
      <c r="F94" s="33">
        <v>36144</v>
      </c>
      <c r="G94" s="31" t="s">
        <v>417</v>
      </c>
      <c r="H94" s="33">
        <v>36144</v>
      </c>
      <c r="I94" s="29" t="s">
        <v>80</v>
      </c>
      <c r="J94" s="28" t="s">
        <v>416</v>
      </c>
      <c r="K94" s="28">
        <f t="shared" si="6"/>
        <v>28</v>
      </c>
      <c r="L94" s="28" t="str">
        <f t="shared" si="7"/>
        <v>Greater Than 25</v>
      </c>
      <c r="M94" s="46" t="s">
        <v>648</v>
      </c>
      <c r="N94" s="28"/>
      <c r="O94">
        <f t="shared" si="8"/>
        <v>1.1200000000000001</v>
      </c>
      <c r="P94" t="b">
        <f t="shared" si="9"/>
        <v>0</v>
      </c>
    </row>
    <row r="95" spans="1:16" x14ac:dyDescent="0.25">
      <c r="A95" s="29">
        <f t="shared" si="5"/>
        <v>94</v>
      </c>
      <c r="B95" s="30">
        <f>COUNTIF($C$2:C95,C95)</f>
        <v>8</v>
      </c>
      <c r="C95" s="31" t="s">
        <v>403</v>
      </c>
      <c r="D95" s="31" t="s">
        <v>418</v>
      </c>
      <c r="E95" s="31" t="s">
        <v>264</v>
      </c>
      <c r="F95" s="33">
        <v>38842</v>
      </c>
      <c r="G95" s="31" t="s">
        <v>419</v>
      </c>
      <c r="H95" s="33">
        <v>38868</v>
      </c>
      <c r="I95" s="29" t="s">
        <v>80</v>
      </c>
      <c r="J95" s="28" t="s">
        <v>418</v>
      </c>
      <c r="K95" s="28">
        <f t="shared" si="6"/>
        <v>20</v>
      </c>
      <c r="L95" s="28" t="str">
        <f t="shared" si="7"/>
        <v>Greater Than 0</v>
      </c>
      <c r="M95" s="46" t="s">
        <v>648</v>
      </c>
      <c r="N95" s="28"/>
      <c r="O95">
        <f t="shared" si="8"/>
        <v>0.8</v>
      </c>
      <c r="P95" t="b">
        <f t="shared" si="9"/>
        <v>0</v>
      </c>
    </row>
    <row r="96" spans="1:16" x14ac:dyDescent="0.25">
      <c r="A96" s="29">
        <f t="shared" si="5"/>
        <v>95</v>
      </c>
      <c r="B96" s="30">
        <f>COUNTIF($C$2:C96,C96)</f>
        <v>9</v>
      </c>
      <c r="C96" s="31" t="s">
        <v>403</v>
      </c>
      <c r="D96" s="31" t="s">
        <v>420</v>
      </c>
      <c r="E96" s="31" t="s">
        <v>291</v>
      </c>
      <c r="F96" s="33">
        <v>41642</v>
      </c>
      <c r="G96" s="31" t="s">
        <v>421</v>
      </c>
      <c r="H96" s="33">
        <v>41645</v>
      </c>
      <c r="I96" s="29" t="s">
        <v>83</v>
      </c>
      <c r="J96" s="28" t="s">
        <v>420</v>
      </c>
      <c r="K96" s="28">
        <f t="shared" si="6"/>
        <v>13</v>
      </c>
      <c r="L96" s="28" t="str">
        <f t="shared" si="7"/>
        <v>Greater Than 0</v>
      </c>
      <c r="M96" s="46" t="s">
        <v>648</v>
      </c>
      <c r="N96" s="28"/>
      <c r="O96">
        <f t="shared" si="8"/>
        <v>0.52</v>
      </c>
      <c r="P96" t="b">
        <f t="shared" si="9"/>
        <v>0</v>
      </c>
    </row>
    <row r="97" spans="1:16" x14ac:dyDescent="0.25">
      <c r="A97" s="29">
        <f t="shared" si="5"/>
        <v>96</v>
      </c>
      <c r="B97" s="30">
        <f>COUNTIF($C$2:C97,C97)</f>
        <v>10</v>
      </c>
      <c r="C97" s="31" t="s">
        <v>403</v>
      </c>
      <c r="D97" s="31" t="s">
        <v>422</v>
      </c>
      <c r="E97" s="31" t="s">
        <v>291</v>
      </c>
      <c r="F97" s="33">
        <v>41642</v>
      </c>
      <c r="G97" s="31" t="s">
        <v>423</v>
      </c>
      <c r="H97" s="33">
        <v>41645</v>
      </c>
      <c r="I97" s="29" t="s">
        <v>83</v>
      </c>
      <c r="J97" s="28" t="s">
        <v>422</v>
      </c>
      <c r="K97" s="28">
        <f t="shared" si="6"/>
        <v>13</v>
      </c>
      <c r="L97" s="28" t="str">
        <f t="shared" si="7"/>
        <v>Greater Than 0</v>
      </c>
      <c r="M97" s="46" t="s">
        <v>648</v>
      </c>
      <c r="N97" s="28"/>
      <c r="O97">
        <f t="shared" si="8"/>
        <v>0.52</v>
      </c>
      <c r="P97" t="b">
        <f t="shared" si="9"/>
        <v>0</v>
      </c>
    </row>
    <row r="98" spans="1:16" x14ac:dyDescent="0.25">
      <c r="A98" s="29">
        <f t="shared" si="5"/>
        <v>97</v>
      </c>
      <c r="B98" s="30">
        <f>COUNTIF($C$2:C98,C98)</f>
        <v>11</v>
      </c>
      <c r="C98" s="31" t="s">
        <v>403</v>
      </c>
      <c r="D98" s="31" t="s">
        <v>424</v>
      </c>
      <c r="E98" s="31" t="s">
        <v>264</v>
      </c>
      <c r="F98" s="33">
        <v>41680</v>
      </c>
      <c r="G98" s="31" t="s">
        <v>425</v>
      </c>
      <c r="H98" s="33">
        <v>41680</v>
      </c>
      <c r="I98" s="29" t="s">
        <v>77</v>
      </c>
      <c r="J98" s="28" t="s">
        <v>424</v>
      </c>
      <c r="K98" s="28">
        <f t="shared" si="6"/>
        <v>13</v>
      </c>
      <c r="L98" s="28" t="str">
        <f t="shared" si="7"/>
        <v>Greater Than 0</v>
      </c>
      <c r="M98" s="46" t="s">
        <v>648</v>
      </c>
      <c r="N98" s="28"/>
      <c r="O98">
        <f t="shared" si="8"/>
        <v>0.52</v>
      </c>
      <c r="P98" t="b">
        <f t="shared" si="9"/>
        <v>0</v>
      </c>
    </row>
    <row r="99" spans="1:16" x14ac:dyDescent="0.25">
      <c r="A99" s="29">
        <f t="shared" si="5"/>
        <v>98</v>
      </c>
      <c r="B99" s="30">
        <f>COUNTIF($C$2:C99,C99)</f>
        <v>12</v>
      </c>
      <c r="C99" s="31" t="s">
        <v>403</v>
      </c>
      <c r="D99" s="31" t="s">
        <v>426</v>
      </c>
      <c r="E99" s="31" t="s">
        <v>291</v>
      </c>
      <c r="F99" s="33">
        <v>42592</v>
      </c>
      <c r="G99" s="31" t="s">
        <v>427</v>
      </c>
      <c r="H99" s="33">
        <v>42627</v>
      </c>
      <c r="I99" s="29" t="s">
        <v>80</v>
      </c>
      <c r="J99" s="28" t="s">
        <v>426</v>
      </c>
      <c r="K99" s="28">
        <f t="shared" si="6"/>
        <v>10</v>
      </c>
      <c r="L99" s="28" t="str">
        <f t="shared" si="7"/>
        <v>Greater Than 0</v>
      </c>
      <c r="M99" s="46" t="s">
        <v>648</v>
      </c>
      <c r="N99" s="28"/>
      <c r="O99">
        <f t="shared" si="8"/>
        <v>0.4</v>
      </c>
      <c r="P99" t="b">
        <f t="shared" si="9"/>
        <v>0</v>
      </c>
    </row>
    <row r="100" spans="1:16" x14ac:dyDescent="0.25">
      <c r="A100" s="29">
        <f t="shared" si="5"/>
        <v>99</v>
      </c>
      <c r="B100" s="30">
        <f>COUNTIF($C$2:C100,C100)</f>
        <v>13</v>
      </c>
      <c r="C100" s="31" t="s">
        <v>403</v>
      </c>
      <c r="D100" s="31" t="s">
        <v>428</v>
      </c>
      <c r="E100" s="31" t="s">
        <v>291</v>
      </c>
      <c r="F100" s="33">
        <v>42630</v>
      </c>
      <c r="G100" s="31" t="s">
        <v>429</v>
      </c>
      <c r="H100" s="33">
        <v>42642</v>
      </c>
      <c r="I100" s="29" t="s">
        <v>80</v>
      </c>
      <c r="J100" s="28" t="s">
        <v>428</v>
      </c>
      <c r="K100" s="28">
        <f t="shared" si="6"/>
        <v>10</v>
      </c>
      <c r="L100" s="28" t="str">
        <f t="shared" si="7"/>
        <v>Greater Than 0</v>
      </c>
      <c r="M100" s="46" t="s">
        <v>648</v>
      </c>
      <c r="N100" s="28"/>
      <c r="O100">
        <f t="shared" si="8"/>
        <v>0.4</v>
      </c>
      <c r="P100" t="b">
        <f t="shared" si="9"/>
        <v>0</v>
      </c>
    </row>
    <row r="101" spans="1:16" x14ac:dyDescent="0.25">
      <c r="A101" s="21">
        <f t="shared" si="5"/>
        <v>100</v>
      </c>
      <c r="B101" s="22">
        <f>COUNTIF($C$2:C101,C101)</f>
        <v>1</v>
      </c>
      <c r="C101" s="23" t="s">
        <v>430</v>
      </c>
      <c r="D101" s="24" t="s">
        <v>431</v>
      </c>
      <c r="E101" s="25" t="s">
        <v>239</v>
      </c>
      <c r="F101" s="26">
        <v>25659</v>
      </c>
      <c r="G101" s="24" t="s">
        <v>432</v>
      </c>
      <c r="H101" s="26">
        <v>25755</v>
      </c>
      <c r="I101" s="27" t="s">
        <v>8</v>
      </c>
      <c r="J101" s="28" t="s">
        <v>431</v>
      </c>
      <c r="K101" s="28">
        <f t="shared" si="6"/>
        <v>56</v>
      </c>
      <c r="L101" s="28" t="str">
        <f t="shared" si="7"/>
        <v>Greater Than 50</v>
      </c>
      <c r="M101" s="46" t="s">
        <v>656</v>
      </c>
      <c r="N101" s="28"/>
      <c r="O101">
        <f t="shared" si="8"/>
        <v>2.2400000000000002</v>
      </c>
      <c r="P101" t="b">
        <f t="shared" si="9"/>
        <v>0</v>
      </c>
    </row>
    <row r="102" spans="1:16" x14ac:dyDescent="0.25">
      <c r="A102" s="29">
        <f t="shared" si="5"/>
        <v>101</v>
      </c>
      <c r="B102" s="30">
        <f>COUNTIF($C$2:C102,C102)</f>
        <v>2</v>
      </c>
      <c r="C102" s="31" t="s">
        <v>430</v>
      </c>
      <c r="D102" s="31" t="s">
        <v>433</v>
      </c>
      <c r="E102" s="31" t="s">
        <v>239</v>
      </c>
      <c r="F102" s="33">
        <v>26163</v>
      </c>
      <c r="G102" s="31" t="s">
        <v>434</v>
      </c>
      <c r="H102" s="33">
        <v>26168</v>
      </c>
      <c r="I102" s="29" t="s">
        <v>20</v>
      </c>
      <c r="J102" s="28" t="s">
        <v>433</v>
      </c>
      <c r="K102" s="28">
        <f t="shared" si="6"/>
        <v>55</v>
      </c>
      <c r="L102" s="28" t="str">
        <f t="shared" si="7"/>
        <v>Greater Than 50</v>
      </c>
      <c r="M102" s="46" t="s">
        <v>656</v>
      </c>
      <c r="N102" s="28"/>
      <c r="O102">
        <f t="shared" si="8"/>
        <v>2.2000000000000002</v>
      </c>
      <c r="P102" t="b">
        <f t="shared" si="9"/>
        <v>0</v>
      </c>
    </row>
    <row r="103" spans="1:16" x14ac:dyDescent="0.25">
      <c r="A103" s="29">
        <f t="shared" si="5"/>
        <v>102</v>
      </c>
      <c r="B103" s="30">
        <f>COUNTIF($C$2:C103,C103)</f>
        <v>3</v>
      </c>
      <c r="C103" s="31" t="s">
        <v>430</v>
      </c>
      <c r="D103" s="31" t="s">
        <v>435</v>
      </c>
      <c r="E103" s="31" t="s">
        <v>239</v>
      </c>
      <c r="F103" s="33">
        <v>26163</v>
      </c>
      <c r="G103" s="31" t="s">
        <v>436</v>
      </c>
      <c r="H103" s="33">
        <v>26168</v>
      </c>
      <c r="I103" s="29" t="s">
        <v>28</v>
      </c>
      <c r="J103" s="28" t="s">
        <v>435</v>
      </c>
      <c r="K103" s="28">
        <f t="shared" si="6"/>
        <v>55</v>
      </c>
      <c r="L103" s="28" t="str">
        <f t="shared" si="7"/>
        <v>Greater Than 50</v>
      </c>
      <c r="M103" s="46" t="s">
        <v>650</v>
      </c>
      <c r="N103" s="28"/>
      <c r="O103">
        <f t="shared" si="8"/>
        <v>2.2000000000000002</v>
      </c>
      <c r="P103" t="b">
        <f t="shared" si="9"/>
        <v>0</v>
      </c>
    </row>
    <row r="104" spans="1:16" x14ac:dyDescent="0.25">
      <c r="A104" s="29">
        <f t="shared" si="5"/>
        <v>103</v>
      </c>
      <c r="B104" s="30">
        <f>COUNTIF($C$2:C104,C104)</f>
        <v>4</v>
      </c>
      <c r="C104" s="31" t="s">
        <v>430</v>
      </c>
      <c r="D104" s="31" t="s">
        <v>437</v>
      </c>
      <c r="E104" s="31" t="s">
        <v>239</v>
      </c>
      <c r="F104" s="33">
        <v>27583</v>
      </c>
      <c r="G104" s="31" t="s">
        <v>438</v>
      </c>
      <c r="H104" s="33">
        <v>27591</v>
      </c>
      <c r="I104" s="29" t="s">
        <v>1</v>
      </c>
      <c r="J104" s="28" t="s">
        <v>437</v>
      </c>
      <c r="K104" s="28">
        <f t="shared" si="6"/>
        <v>51</v>
      </c>
      <c r="L104" s="28" t="str">
        <f t="shared" si="7"/>
        <v>Greater Than 50</v>
      </c>
      <c r="M104" s="46" t="s">
        <v>654</v>
      </c>
      <c r="N104" s="28"/>
      <c r="O104">
        <f t="shared" si="8"/>
        <v>2.04</v>
      </c>
      <c r="P104" s="2" t="b">
        <f t="shared" si="9"/>
        <v>0</v>
      </c>
    </row>
    <row r="105" spans="1:16" x14ac:dyDescent="0.25">
      <c r="A105" s="29">
        <f t="shared" si="5"/>
        <v>104</v>
      </c>
      <c r="B105" s="30">
        <f>COUNTIF($C$2:C105,C105)</f>
        <v>5</v>
      </c>
      <c r="C105" s="31" t="s">
        <v>430</v>
      </c>
      <c r="D105" s="31" t="s">
        <v>439</v>
      </c>
      <c r="E105" s="31" t="s">
        <v>239</v>
      </c>
      <c r="F105" s="33">
        <v>28019</v>
      </c>
      <c r="G105" s="31" t="s">
        <v>440</v>
      </c>
      <c r="H105" s="33">
        <v>28073</v>
      </c>
      <c r="I105" s="29" t="s">
        <v>8</v>
      </c>
      <c r="J105" s="28" t="s">
        <v>439</v>
      </c>
      <c r="K105" s="28">
        <f t="shared" si="6"/>
        <v>50</v>
      </c>
      <c r="L105" s="28" t="str">
        <f t="shared" si="7"/>
        <v>Greater Than 50</v>
      </c>
      <c r="M105" s="46" t="s">
        <v>654</v>
      </c>
      <c r="N105" s="28"/>
      <c r="O105">
        <f t="shared" si="8"/>
        <v>2</v>
      </c>
      <c r="P105" s="2" t="b">
        <f t="shared" si="9"/>
        <v>1</v>
      </c>
    </row>
    <row r="106" spans="1:16" x14ac:dyDescent="0.25">
      <c r="A106" s="29">
        <f t="shared" si="5"/>
        <v>105</v>
      </c>
      <c r="B106" s="30">
        <f>COUNTIF($C$2:C106,C106)</f>
        <v>6</v>
      </c>
      <c r="C106" s="31" t="s">
        <v>430</v>
      </c>
      <c r="D106" s="31" t="s">
        <v>441</v>
      </c>
      <c r="E106" s="32" t="s">
        <v>239</v>
      </c>
      <c r="F106" s="33">
        <v>29418</v>
      </c>
      <c r="G106" s="31" t="s">
        <v>442</v>
      </c>
      <c r="H106" s="33">
        <v>29434</v>
      </c>
      <c r="I106" s="34" t="s">
        <v>1</v>
      </c>
      <c r="J106" s="28" t="s">
        <v>441</v>
      </c>
      <c r="K106" s="28">
        <f t="shared" si="6"/>
        <v>46</v>
      </c>
      <c r="L106" s="28" t="str">
        <f t="shared" si="7"/>
        <v>Greater Than 25</v>
      </c>
      <c r="M106" s="46" t="s">
        <v>652</v>
      </c>
      <c r="N106" s="28"/>
      <c r="O106">
        <f t="shared" si="8"/>
        <v>1.84</v>
      </c>
      <c r="P106" t="b">
        <f t="shared" si="9"/>
        <v>0</v>
      </c>
    </row>
    <row r="107" spans="1:16" x14ac:dyDescent="0.25">
      <c r="A107" s="29">
        <f t="shared" si="5"/>
        <v>106</v>
      </c>
      <c r="B107" s="30">
        <f>COUNTIF($C$2:C107,C107)</f>
        <v>7</v>
      </c>
      <c r="C107" s="31" t="s">
        <v>430</v>
      </c>
      <c r="D107" s="31" t="s">
        <v>443</v>
      </c>
      <c r="E107" s="31" t="s">
        <v>239</v>
      </c>
      <c r="F107" s="33">
        <v>29418</v>
      </c>
      <c r="G107" s="31" t="s">
        <v>444</v>
      </c>
      <c r="H107" s="33">
        <v>29434</v>
      </c>
      <c r="I107" s="29" t="s">
        <v>1</v>
      </c>
      <c r="J107" s="28" t="s">
        <v>443</v>
      </c>
      <c r="K107" s="28">
        <f t="shared" si="6"/>
        <v>46</v>
      </c>
      <c r="L107" s="28" t="str">
        <f t="shared" si="7"/>
        <v>Greater Than 25</v>
      </c>
      <c r="M107" s="46" t="s">
        <v>654</v>
      </c>
      <c r="N107" s="28"/>
      <c r="O107">
        <f t="shared" si="8"/>
        <v>1.84</v>
      </c>
      <c r="P107" t="b">
        <f t="shared" si="9"/>
        <v>0</v>
      </c>
    </row>
    <row r="108" spans="1:16" x14ac:dyDescent="0.25">
      <c r="A108" s="29">
        <f t="shared" si="5"/>
        <v>107</v>
      </c>
      <c r="B108" s="30">
        <f>COUNTIF($C$2:C108,C108)</f>
        <v>8</v>
      </c>
      <c r="C108" s="31" t="s">
        <v>430</v>
      </c>
      <c r="D108" s="31" t="s">
        <v>445</v>
      </c>
      <c r="E108" s="31" t="s">
        <v>239</v>
      </c>
      <c r="F108" s="33">
        <v>29571</v>
      </c>
      <c r="G108" s="31" t="s">
        <v>446</v>
      </c>
      <c r="H108" s="33">
        <v>29588</v>
      </c>
      <c r="I108" s="29" t="s">
        <v>20</v>
      </c>
      <c r="J108" s="28" t="s">
        <v>445</v>
      </c>
      <c r="K108" s="28">
        <f t="shared" si="6"/>
        <v>46</v>
      </c>
      <c r="L108" s="28" t="str">
        <f t="shared" si="7"/>
        <v>Greater Than 25</v>
      </c>
      <c r="M108" s="46" t="s">
        <v>652</v>
      </c>
      <c r="N108" s="28"/>
      <c r="O108">
        <f t="shared" si="8"/>
        <v>1.84</v>
      </c>
      <c r="P108" t="b">
        <f t="shared" si="9"/>
        <v>0</v>
      </c>
    </row>
    <row r="109" spans="1:16" x14ac:dyDescent="0.25">
      <c r="A109" s="29">
        <f t="shared" si="5"/>
        <v>108</v>
      </c>
      <c r="B109" s="30">
        <f>COUNTIF($C$2:C109,C109)</f>
        <v>9</v>
      </c>
      <c r="C109" s="31" t="s">
        <v>430</v>
      </c>
      <c r="D109" s="31" t="s">
        <v>447</v>
      </c>
      <c r="E109" s="31" t="s">
        <v>239</v>
      </c>
      <c r="F109" s="33">
        <v>29684</v>
      </c>
      <c r="G109" s="31" t="s">
        <v>448</v>
      </c>
      <c r="H109" s="33">
        <v>29707</v>
      </c>
      <c r="I109" s="29" t="s">
        <v>449</v>
      </c>
      <c r="J109" s="28" t="s">
        <v>447</v>
      </c>
      <c r="K109" s="28">
        <f t="shared" si="6"/>
        <v>45</v>
      </c>
      <c r="L109" s="28" t="str">
        <f t="shared" si="7"/>
        <v>Greater Than 25</v>
      </c>
      <c r="M109" s="46" t="s">
        <v>652</v>
      </c>
      <c r="N109" s="28"/>
      <c r="O109">
        <f t="shared" si="8"/>
        <v>1.8</v>
      </c>
      <c r="P109" t="b">
        <f t="shared" si="9"/>
        <v>0</v>
      </c>
    </row>
    <row r="110" spans="1:16" x14ac:dyDescent="0.25">
      <c r="A110" s="29">
        <f t="shared" si="5"/>
        <v>109</v>
      </c>
      <c r="B110" s="30">
        <f>COUNTIF($C$2:C110,C110)</f>
        <v>10</v>
      </c>
      <c r="C110" s="31" t="s">
        <v>430</v>
      </c>
      <c r="D110" s="31" t="s">
        <v>450</v>
      </c>
      <c r="E110" s="31" t="s">
        <v>239</v>
      </c>
      <c r="F110" s="33">
        <v>30207</v>
      </c>
      <c r="G110" s="31" t="s">
        <v>451</v>
      </c>
      <c r="H110" s="33">
        <v>30214</v>
      </c>
      <c r="I110" s="29" t="s">
        <v>48</v>
      </c>
      <c r="J110" s="28" t="s">
        <v>450</v>
      </c>
      <c r="K110" s="28">
        <f t="shared" si="6"/>
        <v>44</v>
      </c>
      <c r="L110" s="28" t="str">
        <f t="shared" si="7"/>
        <v>Greater Than 25</v>
      </c>
      <c r="M110" s="46" t="s">
        <v>652</v>
      </c>
      <c r="N110" s="28"/>
      <c r="O110">
        <f t="shared" si="8"/>
        <v>1.76</v>
      </c>
      <c r="P110" t="b">
        <f t="shared" si="9"/>
        <v>0</v>
      </c>
    </row>
    <row r="111" spans="1:16" x14ac:dyDescent="0.25">
      <c r="A111" s="29">
        <f t="shared" si="5"/>
        <v>110</v>
      </c>
      <c r="B111" s="30">
        <f>COUNTIF($C$2:C111,C111)</f>
        <v>11</v>
      </c>
      <c r="C111" s="31" t="s">
        <v>430</v>
      </c>
      <c r="D111" s="31" t="s">
        <v>452</v>
      </c>
      <c r="E111" s="31" t="s">
        <v>239</v>
      </c>
      <c r="F111" s="33">
        <v>30701</v>
      </c>
      <c r="G111" s="31" t="s">
        <v>453</v>
      </c>
      <c r="H111" s="33">
        <v>30735</v>
      </c>
      <c r="I111" s="29" t="s">
        <v>8</v>
      </c>
      <c r="J111" s="28" t="s">
        <v>452</v>
      </c>
      <c r="K111" s="28">
        <f t="shared" si="6"/>
        <v>43</v>
      </c>
      <c r="L111" s="28" t="str">
        <f t="shared" si="7"/>
        <v>Greater Than 25</v>
      </c>
      <c r="M111" s="46" t="s">
        <v>652</v>
      </c>
      <c r="N111" s="28"/>
      <c r="O111">
        <f t="shared" si="8"/>
        <v>1.72</v>
      </c>
      <c r="P111" t="b">
        <f t="shared" si="9"/>
        <v>0</v>
      </c>
    </row>
    <row r="112" spans="1:16" x14ac:dyDescent="0.25">
      <c r="A112" s="29">
        <f t="shared" si="5"/>
        <v>111</v>
      </c>
      <c r="B112" s="30">
        <f>COUNTIF($C$2:C112,C112)</f>
        <v>12</v>
      </c>
      <c r="C112" s="31" t="s">
        <v>430</v>
      </c>
      <c r="D112" s="31" t="s">
        <v>454</v>
      </c>
      <c r="E112" s="31" t="s">
        <v>239</v>
      </c>
      <c r="F112" s="33">
        <v>31240</v>
      </c>
      <c r="G112" s="31" t="s">
        <v>455</v>
      </c>
      <c r="H112" s="33">
        <v>31293</v>
      </c>
      <c r="I112" s="29" t="s">
        <v>1</v>
      </c>
      <c r="J112" s="28" t="s">
        <v>629</v>
      </c>
      <c r="K112" s="28">
        <f t="shared" si="6"/>
        <v>41</v>
      </c>
      <c r="L112" s="28" t="str">
        <f t="shared" si="7"/>
        <v>Greater Than 25</v>
      </c>
      <c r="M112" s="46" t="s">
        <v>650</v>
      </c>
      <c r="N112" s="28"/>
      <c r="O112">
        <f t="shared" si="8"/>
        <v>1.64</v>
      </c>
      <c r="P112" t="b">
        <f t="shared" si="9"/>
        <v>0</v>
      </c>
    </row>
    <row r="113" spans="1:16" x14ac:dyDescent="0.25">
      <c r="A113" s="29">
        <f t="shared" si="5"/>
        <v>112</v>
      </c>
      <c r="B113" s="30">
        <f>COUNTIF($C$2:C113,C113)</f>
        <v>13</v>
      </c>
      <c r="C113" s="31" t="s">
        <v>430</v>
      </c>
      <c r="D113" s="31" t="s">
        <v>456</v>
      </c>
      <c r="E113" s="31" t="s">
        <v>239</v>
      </c>
      <c r="F113" s="33">
        <v>31306</v>
      </c>
      <c r="G113" s="31" t="s">
        <v>457</v>
      </c>
      <c r="H113" s="33">
        <v>31308</v>
      </c>
      <c r="I113" s="29" t="s">
        <v>8</v>
      </c>
      <c r="J113" s="28" t="s">
        <v>456</v>
      </c>
      <c r="K113" s="28">
        <f t="shared" si="6"/>
        <v>41</v>
      </c>
      <c r="L113" s="28" t="str">
        <f t="shared" si="7"/>
        <v>Greater Than 25</v>
      </c>
      <c r="M113" s="46" t="s">
        <v>652</v>
      </c>
      <c r="N113" s="28"/>
      <c r="O113">
        <f t="shared" si="8"/>
        <v>1.64</v>
      </c>
      <c r="P113" t="b">
        <f t="shared" si="9"/>
        <v>0</v>
      </c>
    </row>
    <row r="114" spans="1:16" x14ac:dyDescent="0.25">
      <c r="A114" s="29">
        <f t="shared" si="5"/>
        <v>113</v>
      </c>
      <c r="B114" s="30">
        <f>COUNTIF($C$2:C114,C114)</f>
        <v>14</v>
      </c>
      <c r="C114" s="31" t="s">
        <v>430</v>
      </c>
      <c r="D114" s="31" t="s">
        <v>458</v>
      </c>
      <c r="E114" s="31" t="s">
        <v>239</v>
      </c>
      <c r="F114" s="33">
        <v>31402</v>
      </c>
      <c r="G114" s="31" t="s">
        <v>459</v>
      </c>
      <c r="H114" s="33">
        <v>31544</v>
      </c>
      <c r="I114" s="29" t="s">
        <v>1</v>
      </c>
      <c r="J114" s="28" t="s">
        <v>458</v>
      </c>
      <c r="K114" s="28">
        <f t="shared" si="6"/>
        <v>41</v>
      </c>
      <c r="L114" s="28" t="str">
        <f t="shared" si="7"/>
        <v>Greater Than 25</v>
      </c>
      <c r="M114" s="46" t="s">
        <v>652</v>
      </c>
      <c r="N114" s="28"/>
      <c r="O114">
        <f t="shared" si="8"/>
        <v>1.64</v>
      </c>
      <c r="P114" t="b">
        <f t="shared" si="9"/>
        <v>0</v>
      </c>
    </row>
    <row r="115" spans="1:16" x14ac:dyDescent="0.25">
      <c r="A115" s="29">
        <f t="shared" si="5"/>
        <v>114</v>
      </c>
      <c r="B115" s="30">
        <f>COUNTIF($C$2:C115,C115)</f>
        <v>15</v>
      </c>
      <c r="C115" s="31" t="s">
        <v>430</v>
      </c>
      <c r="D115" s="31" t="s">
        <v>460</v>
      </c>
      <c r="E115" s="31" t="s">
        <v>239</v>
      </c>
      <c r="F115" s="33">
        <v>31822</v>
      </c>
      <c r="G115" s="31" t="s">
        <v>461</v>
      </c>
      <c r="H115" s="33">
        <v>31873</v>
      </c>
      <c r="I115" s="29" t="s">
        <v>28</v>
      </c>
      <c r="J115" s="28" t="s">
        <v>460</v>
      </c>
      <c r="K115" s="28">
        <f t="shared" si="6"/>
        <v>40</v>
      </c>
      <c r="L115" s="28" t="str">
        <f t="shared" si="7"/>
        <v>Greater Than 25</v>
      </c>
      <c r="M115" s="46" t="s">
        <v>652</v>
      </c>
      <c r="N115" s="28"/>
      <c r="O115">
        <f t="shared" si="8"/>
        <v>1.6</v>
      </c>
      <c r="P115" t="b">
        <f t="shared" si="9"/>
        <v>0</v>
      </c>
    </row>
    <row r="116" spans="1:16" x14ac:dyDescent="0.25">
      <c r="A116" s="29">
        <f t="shared" si="5"/>
        <v>115</v>
      </c>
      <c r="B116" s="30">
        <f>COUNTIF($C$2:C116,C116)</f>
        <v>16</v>
      </c>
      <c r="C116" s="31" t="s">
        <v>430</v>
      </c>
      <c r="D116" s="31" t="s">
        <v>462</v>
      </c>
      <c r="E116" s="31" t="s">
        <v>239</v>
      </c>
      <c r="F116" s="33">
        <v>32037</v>
      </c>
      <c r="G116" s="31" t="s">
        <v>463</v>
      </c>
      <c r="H116" s="33">
        <v>32070</v>
      </c>
      <c r="I116" s="29" t="s">
        <v>20</v>
      </c>
      <c r="J116" s="28" t="s">
        <v>462</v>
      </c>
      <c r="K116" s="28">
        <f t="shared" si="6"/>
        <v>39</v>
      </c>
      <c r="L116" s="28" t="str">
        <f t="shared" si="7"/>
        <v>Greater Than 25</v>
      </c>
      <c r="M116" s="46" t="s">
        <v>650</v>
      </c>
      <c r="N116" s="28"/>
      <c r="O116">
        <f t="shared" si="8"/>
        <v>1.56</v>
      </c>
      <c r="P116" t="b">
        <f t="shared" si="9"/>
        <v>0</v>
      </c>
    </row>
    <row r="117" spans="1:16" x14ac:dyDescent="0.25">
      <c r="A117" s="29">
        <f t="shared" si="5"/>
        <v>116</v>
      </c>
      <c r="B117" s="30">
        <f>COUNTIF($C$2:C117,C117)</f>
        <v>17</v>
      </c>
      <c r="C117" s="31" t="s">
        <v>430</v>
      </c>
      <c r="D117" s="31" t="s">
        <v>464</v>
      </c>
      <c r="E117" s="31" t="s">
        <v>239</v>
      </c>
      <c r="F117" s="33">
        <v>32142</v>
      </c>
      <c r="G117" s="31" t="s">
        <v>465</v>
      </c>
      <c r="H117" s="33">
        <v>32157</v>
      </c>
      <c r="I117" s="29" t="s">
        <v>8</v>
      </c>
      <c r="J117" s="28" t="s">
        <v>464</v>
      </c>
      <c r="K117" s="28">
        <f t="shared" si="6"/>
        <v>39</v>
      </c>
      <c r="L117" s="28" t="str">
        <f t="shared" si="7"/>
        <v>Greater Than 25</v>
      </c>
      <c r="M117" s="46" t="s">
        <v>652</v>
      </c>
      <c r="N117" s="28"/>
      <c r="O117">
        <f t="shared" si="8"/>
        <v>1.56</v>
      </c>
      <c r="P117" t="b">
        <f t="shared" si="9"/>
        <v>0</v>
      </c>
    </row>
    <row r="118" spans="1:16" x14ac:dyDescent="0.25">
      <c r="A118" s="29">
        <f t="shared" si="5"/>
        <v>117</v>
      </c>
      <c r="B118" s="30">
        <f>COUNTIF($C$2:C118,C118)</f>
        <v>18</v>
      </c>
      <c r="C118" s="31" t="s">
        <v>430</v>
      </c>
      <c r="D118" s="31" t="s">
        <v>466</v>
      </c>
      <c r="E118" s="31" t="s">
        <v>239</v>
      </c>
      <c r="F118" s="33">
        <v>32263</v>
      </c>
      <c r="G118" s="31" t="s">
        <v>467</v>
      </c>
      <c r="H118" s="33">
        <v>32286</v>
      </c>
      <c r="I118" s="29" t="s">
        <v>25</v>
      </c>
      <c r="J118" s="28" t="s">
        <v>466</v>
      </c>
      <c r="K118" s="28">
        <f t="shared" si="6"/>
        <v>38</v>
      </c>
      <c r="L118" s="28" t="str">
        <f t="shared" si="7"/>
        <v>Greater Than 25</v>
      </c>
      <c r="M118" s="46" t="s">
        <v>652</v>
      </c>
      <c r="N118" s="28"/>
      <c r="O118">
        <f t="shared" si="8"/>
        <v>1.52</v>
      </c>
      <c r="P118" t="b">
        <f t="shared" si="9"/>
        <v>0</v>
      </c>
    </row>
    <row r="119" spans="1:16" x14ac:dyDescent="0.25">
      <c r="A119" s="29">
        <f t="shared" si="5"/>
        <v>118</v>
      </c>
      <c r="B119" s="30">
        <f>COUNTIF($C$2:C119,C119)</f>
        <v>19</v>
      </c>
      <c r="C119" s="31" t="s">
        <v>430</v>
      </c>
      <c r="D119" s="31" t="s">
        <v>468</v>
      </c>
      <c r="E119" s="31" t="s">
        <v>264</v>
      </c>
      <c r="F119" s="33">
        <v>32365</v>
      </c>
      <c r="G119" s="31" t="s">
        <v>469</v>
      </c>
      <c r="H119" s="33">
        <v>32387</v>
      </c>
      <c r="I119" s="29" t="s">
        <v>1</v>
      </c>
      <c r="J119" s="28" t="s">
        <v>468</v>
      </c>
      <c r="K119" s="28">
        <f t="shared" si="6"/>
        <v>38</v>
      </c>
      <c r="L119" s="28" t="str">
        <f t="shared" si="7"/>
        <v>Greater Than 25</v>
      </c>
      <c r="M119" s="46" t="s">
        <v>650</v>
      </c>
      <c r="N119" s="28"/>
      <c r="O119">
        <f t="shared" si="8"/>
        <v>1.52</v>
      </c>
      <c r="P119" t="b">
        <f t="shared" si="9"/>
        <v>0</v>
      </c>
    </row>
    <row r="120" spans="1:16" x14ac:dyDescent="0.25">
      <c r="A120" s="29">
        <f t="shared" si="5"/>
        <v>119</v>
      </c>
      <c r="B120" s="30">
        <f>COUNTIF($C$2:C120,C120)</f>
        <v>20</v>
      </c>
      <c r="C120" s="31" t="s">
        <v>430</v>
      </c>
      <c r="D120" s="31" t="s">
        <v>470</v>
      </c>
      <c r="E120" s="31" t="s">
        <v>264</v>
      </c>
      <c r="F120" s="33">
        <v>32494</v>
      </c>
      <c r="G120" s="31" t="s">
        <v>471</v>
      </c>
      <c r="H120" s="33">
        <v>32510</v>
      </c>
      <c r="I120" s="29" t="s">
        <v>1</v>
      </c>
      <c r="J120" s="28" t="s">
        <v>470</v>
      </c>
      <c r="K120" s="28">
        <f t="shared" si="6"/>
        <v>38</v>
      </c>
      <c r="L120" s="28" t="str">
        <f t="shared" si="7"/>
        <v>Greater Than 25</v>
      </c>
      <c r="M120" s="46" t="s">
        <v>650</v>
      </c>
      <c r="N120" s="28"/>
      <c r="O120">
        <f t="shared" si="8"/>
        <v>1.52</v>
      </c>
      <c r="P120" t="b">
        <f t="shared" si="9"/>
        <v>0</v>
      </c>
    </row>
    <row r="121" spans="1:16" x14ac:dyDescent="0.25">
      <c r="A121" s="29">
        <f t="shared" si="5"/>
        <v>120</v>
      </c>
      <c r="B121" s="30">
        <f>COUNTIF($C$2:C121,C121)</f>
        <v>21</v>
      </c>
      <c r="C121" s="31" t="s">
        <v>430</v>
      </c>
      <c r="D121" s="31" t="s">
        <v>472</v>
      </c>
      <c r="E121" s="31" t="s">
        <v>264</v>
      </c>
      <c r="F121" s="33">
        <v>32578</v>
      </c>
      <c r="G121" s="31" t="s">
        <v>473</v>
      </c>
      <c r="H121" s="33">
        <v>32598</v>
      </c>
      <c r="I121" s="29" t="s">
        <v>8</v>
      </c>
      <c r="J121" s="28" t="s">
        <v>472</v>
      </c>
      <c r="K121" s="28">
        <f t="shared" si="6"/>
        <v>38</v>
      </c>
      <c r="L121" s="28" t="str">
        <f t="shared" si="7"/>
        <v>Greater Than 25</v>
      </c>
      <c r="M121" s="46" t="s">
        <v>650</v>
      </c>
      <c r="N121" s="28"/>
      <c r="O121">
        <f t="shared" si="8"/>
        <v>1.52</v>
      </c>
      <c r="P121" t="b">
        <f t="shared" si="9"/>
        <v>0</v>
      </c>
    </row>
    <row r="122" spans="1:16" x14ac:dyDescent="0.25">
      <c r="A122" s="29">
        <f t="shared" si="5"/>
        <v>121</v>
      </c>
      <c r="B122" s="30">
        <f>COUNTIF($C$2:C122,C122)</f>
        <v>22</v>
      </c>
      <c r="C122" s="31" t="s">
        <v>430</v>
      </c>
      <c r="D122" s="31" t="s">
        <v>474</v>
      </c>
      <c r="E122" s="31" t="s">
        <v>264</v>
      </c>
      <c r="F122" s="33">
        <v>32862</v>
      </c>
      <c r="G122" s="31" t="s">
        <v>475</v>
      </c>
      <c r="H122" s="33">
        <v>32911</v>
      </c>
      <c r="I122" s="29" t="s">
        <v>28</v>
      </c>
      <c r="J122" s="28" t="s">
        <v>474</v>
      </c>
      <c r="K122" s="28">
        <f t="shared" si="6"/>
        <v>37</v>
      </c>
      <c r="L122" s="28" t="str">
        <f t="shared" si="7"/>
        <v>Greater Than 25</v>
      </c>
      <c r="M122" s="46" t="s">
        <v>650</v>
      </c>
      <c r="N122" s="28"/>
      <c r="O122">
        <f t="shared" si="8"/>
        <v>1.48</v>
      </c>
      <c r="P122" t="b">
        <f t="shared" si="9"/>
        <v>0</v>
      </c>
    </row>
    <row r="123" spans="1:16" x14ac:dyDescent="0.25">
      <c r="A123" s="29">
        <f t="shared" si="5"/>
        <v>122</v>
      </c>
      <c r="B123" s="30">
        <f>COUNTIF($C$2:C123,C123)</f>
        <v>23</v>
      </c>
      <c r="C123" s="31" t="s">
        <v>430</v>
      </c>
      <c r="D123" s="31" t="s">
        <v>476</v>
      </c>
      <c r="E123" s="31" t="s">
        <v>264</v>
      </c>
      <c r="F123" s="33">
        <v>33147</v>
      </c>
      <c r="G123" s="31" t="s">
        <v>477</v>
      </c>
      <c r="H123" s="33">
        <v>33151</v>
      </c>
      <c r="I123" s="29" t="s">
        <v>8</v>
      </c>
      <c r="J123" s="28" t="s">
        <v>476</v>
      </c>
      <c r="K123" s="28">
        <f t="shared" si="6"/>
        <v>36</v>
      </c>
      <c r="L123" s="28" t="str">
        <f t="shared" si="7"/>
        <v>Greater Than 25</v>
      </c>
      <c r="M123" s="46" t="s">
        <v>650</v>
      </c>
      <c r="N123" s="28"/>
      <c r="O123">
        <f t="shared" si="8"/>
        <v>1.44</v>
      </c>
      <c r="P123" t="b">
        <f t="shared" si="9"/>
        <v>0</v>
      </c>
    </row>
    <row r="124" spans="1:16" x14ac:dyDescent="0.25">
      <c r="A124" s="29">
        <f t="shared" si="5"/>
        <v>123</v>
      </c>
      <c r="B124" s="30">
        <f>COUNTIF($C$2:C124,C124)</f>
        <v>24</v>
      </c>
      <c r="C124" s="31" t="s">
        <v>430</v>
      </c>
      <c r="D124" s="31" t="s">
        <v>478</v>
      </c>
      <c r="E124" s="31" t="s">
        <v>264</v>
      </c>
      <c r="F124" s="33">
        <v>33256</v>
      </c>
      <c r="G124" s="31" t="s">
        <v>479</v>
      </c>
      <c r="H124" s="33">
        <v>33322</v>
      </c>
      <c r="I124" s="29" t="s">
        <v>1</v>
      </c>
      <c r="J124" s="28" t="s">
        <v>630</v>
      </c>
      <c r="K124" s="28">
        <f t="shared" si="6"/>
        <v>36</v>
      </c>
      <c r="L124" s="28" t="str">
        <f t="shared" si="7"/>
        <v>Greater Than 25</v>
      </c>
      <c r="M124" s="46" t="s">
        <v>654</v>
      </c>
      <c r="N124" s="28"/>
      <c r="O124">
        <f t="shared" si="8"/>
        <v>1.44</v>
      </c>
      <c r="P124" t="b">
        <f t="shared" si="9"/>
        <v>0</v>
      </c>
    </row>
    <row r="125" spans="1:16" x14ac:dyDescent="0.25">
      <c r="A125" s="29">
        <f t="shared" si="5"/>
        <v>124</v>
      </c>
      <c r="B125" s="30">
        <f>COUNTIF($C$2:C125,C125)</f>
        <v>25</v>
      </c>
      <c r="C125" s="31" t="s">
        <v>430</v>
      </c>
      <c r="D125" s="31" t="s">
        <v>480</v>
      </c>
      <c r="E125" s="31" t="s">
        <v>264</v>
      </c>
      <c r="F125" s="33">
        <v>35947</v>
      </c>
      <c r="G125" s="31" t="s">
        <v>481</v>
      </c>
      <c r="H125" s="33">
        <v>36038</v>
      </c>
      <c r="I125" s="29" t="s">
        <v>1</v>
      </c>
      <c r="J125" s="28" t="s">
        <v>480</v>
      </c>
      <c r="K125" s="28">
        <f t="shared" si="6"/>
        <v>28</v>
      </c>
      <c r="L125" s="28" t="str">
        <f t="shared" si="7"/>
        <v>Greater Than 25</v>
      </c>
      <c r="M125" s="46" t="s">
        <v>650</v>
      </c>
      <c r="N125" s="28"/>
      <c r="O125">
        <f t="shared" si="8"/>
        <v>1.1200000000000001</v>
      </c>
      <c r="P125" t="b">
        <f t="shared" si="9"/>
        <v>0</v>
      </c>
    </row>
    <row r="126" spans="1:16" x14ac:dyDescent="0.25">
      <c r="A126" s="29">
        <f t="shared" si="5"/>
        <v>125</v>
      </c>
      <c r="B126" s="30">
        <f>COUNTIF($C$2:C126,C126)</f>
        <v>26</v>
      </c>
      <c r="C126" s="31" t="s">
        <v>430</v>
      </c>
      <c r="D126" s="31" t="s">
        <v>482</v>
      </c>
      <c r="E126" s="31" t="s">
        <v>264</v>
      </c>
      <c r="F126" s="33">
        <v>36094</v>
      </c>
      <c r="G126" s="31" t="s">
        <v>483</v>
      </c>
      <c r="H126" s="33">
        <v>36125</v>
      </c>
      <c r="I126" s="29" t="s">
        <v>1</v>
      </c>
      <c r="J126" s="28" t="s">
        <v>482</v>
      </c>
      <c r="K126" s="28">
        <f t="shared" si="6"/>
        <v>28</v>
      </c>
      <c r="L126" s="28" t="str">
        <f t="shared" si="7"/>
        <v>Greater Than 25</v>
      </c>
      <c r="M126" s="46" t="s">
        <v>650</v>
      </c>
      <c r="N126" s="28"/>
      <c r="O126">
        <f t="shared" si="8"/>
        <v>1.1200000000000001</v>
      </c>
      <c r="P126" t="b">
        <f t="shared" si="9"/>
        <v>0</v>
      </c>
    </row>
    <row r="127" spans="1:16" x14ac:dyDescent="0.25">
      <c r="A127" s="29">
        <f t="shared" si="5"/>
        <v>126</v>
      </c>
      <c r="B127" s="30">
        <f>COUNTIF($C$2:C127,C127)</f>
        <v>27</v>
      </c>
      <c r="C127" s="31" t="s">
        <v>430</v>
      </c>
      <c r="D127" s="31" t="s">
        <v>484</v>
      </c>
      <c r="E127" s="31" t="s">
        <v>264</v>
      </c>
      <c r="F127" s="33">
        <v>36612</v>
      </c>
      <c r="G127" s="31" t="s">
        <v>485</v>
      </c>
      <c r="H127" s="33">
        <v>36623</v>
      </c>
      <c r="I127" s="29" t="s">
        <v>1</v>
      </c>
      <c r="J127" s="28" t="s">
        <v>484</v>
      </c>
      <c r="K127" s="28">
        <f t="shared" si="6"/>
        <v>27</v>
      </c>
      <c r="L127" s="28" t="str">
        <f t="shared" si="7"/>
        <v>Greater Than 25</v>
      </c>
      <c r="M127" s="46" t="s">
        <v>650</v>
      </c>
      <c r="N127" s="28"/>
      <c r="O127">
        <f t="shared" si="8"/>
        <v>1.08</v>
      </c>
      <c r="P127" t="b">
        <f t="shared" si="9"/>
        <v>0</v>
      </c>
    </row>
    <row r="128" spans="1:16" x14ac:dyDescent="0.25">
      <c r="A128" s="29">
        <f t="shared" si="5"/>
        <v>127</v>
      </c>
      <c r="B128" s="30">
        <f>COUNTIF($C$2:C128,C128)</f>
        <v>28</v>
      </c>
      <c r="C128" s="31" t="s">
        <v>430</v>
      </c>
      <c r="D128" s="31" t="s">
        <v>486</v>
      </c>
      <c r="E128" s="31" t="s">
        <v>264</v>
      </c>
      <c r="F128" s="33">
        <v>36612</v>
      </c>
      <c r="G128" s="31" t="s">
        <v>487</v>
      </c>
      <c r="H128" s="33">
        <v>36623</v>
      </c>
      <c r="I128" s="29" t="s">
        <v>1</v>
      </c>
      <c r="J128" s="28" t="s">
        <v>486</v>
      </c>
      <c r="K128" s="28">
        <f t="shared" si="6"/>
        <v>27</v>
      </c>
      <c r="L128" s="28" t="str">
        <f t="shared" si="7"/>
        <v>Greater Than 25</v>
      </c>
      <c r="M128" s="46" t="s">
        <v>648</v>
      </c>
      <c r="N128" s="28"/>
      <c r="O128">
        <f t="shared" si="8"/>
        <v>1.08</v>
      </c>
      <c r="P128" t="b">
        <f t="shared" si="9"/>
        <v>0</v>
      </c>
    </row>
    <row r="129" spans="1:16" x14ac:dyDescent="0.25">
      <c r="A129" s="29">
        <f t="shared" si="5"/>
        <v>128</v>
      </c>
      <c r="B129" s="30">
        <f>COUNTIF($C$2:C129,C129)</f>
        <v>29</v>
      </c>
      <c r="C129" s="31" t="s">
        <v>430</v>
      </c>
      <c r="D129" s="31" t="s">
        <v>488</v>
      </c>
      <c r="E129" s="31" t="s">
        <v>264</v>
      </c>
      <c r="F129" s="33">
        <v>37012</v>
      </c>
      <c r="G129" s="31" t="s">
        <v>489</v>
      </c>
      <c r="H129" s="33">
        <v>37021</v>
      </c>
      <c r="I129" s="29" t="s">
        <v>449</v>
      </c>
      <c r="J129" s="28" t="s">
        <v>488</v>
      </c>
      <c r="K129" s="28">
        <f t="shared" si="6"/>
        <v>25</v>
      </c>
      <c r="L129" s="28" t="str">
        <f t="shared" si="7"/>
        <v>Greater Than 25</v>
      </c>
      <c r="M129" s="46" t="s">
        <v>650</v>
      </c>
      <c r="N129" s="28"/>
      <c r="O129">
        <f t="shared" si="8"/>
        <v>1</v>
      </c>
      <c r="P129" s="2" t="b">
        <f t="shared" si="9"/>
        <v>1</v>
      </c>
    </row>
    <row r="130" spans="1:16" x14ac:dyDescent="0.25">
      <c r="A130" s="29">
        <f t="shared" ref="A130:A161" si="10">ROW()-1</f>
        <v>129</v>
      </c>
      <c r="B130" s="30">
        <f>COUNTIF($C$2:C130,C130)</f>
        <v>30</v>
      </c>
      <c r="C130" s="31" t="s">
        <v>430</v>
      </c>
      <c r="D130" s="31" t="s">
        <v>490</v>
      </c>
      <c r="E130" s="31" t="s">
        <v>264</v>
      </c>
      <c r="F130" s="33">
        <v>38095</v>
      </c>
      <c r="G130" s="31" t="s">
        <v>491</v>
      </c>
      <c r="H130" s="33">
        <v>38167</v>
      </c>
      <c r="I130" s="29" t="s">
        <v>20</v>
      </c>
      <c r="J130" s="28" t="s">
        <v>490</v>
      </c>
      <c r="K130" s="28">
        <f t="shared" si="6"/>
        <v>22</v>
      </c>
      <c r="L130" s="28" t="str">
        <f t="shared" si="7"/>
        <v>Greater Than 0</v>
      </c>
      <c r="M130" s="46" t="s">
        <v>650</v>
      </c>
      <c r="N130" s="28"/>
      <c r="O130">
        <f t="shared" si="8"/>
        <v>0.88</v>
      </c>
      <c r="P130" t="b">
        <f t="shared" si="9"/>
        <v>0</v>
      </c>
    </row>
    <row r="131" spans="1:16" x14ac:dyDescent="0.25">
      <c r="A131" s="29">
        <f t="shared" si="10"/>
        <v>130</v>
      </c>
      <c r="B131" s="30">
        <f>COUNTIF($C$2:C131,C131)</f>
        <v>31</v>
      </c>
      <c r="C131" s="31" t="s">
        <v>430</v>
      </c>
      <c r="D131" s="31" t="s">
        <v>492</v>
      </c>
      <c r="E131" s="31" t="s">
        <v>264</v>
      </c>
      <c r="F131" s="33">
        <v>38191</v>
      </c>
      <c r="G131" s="31" t="s">
        <v>493</v>
      </c>
      <c r="H131" s="33">
        <v>38261</v>
      </c>
      <c r="I131" s="29" t="s">
        <v>20</v>
      </c>
      <c r="J131" s="28" t="s">
        <v>492</v>
      </c>
      <c r="K131" s="28">
        <f t="shared" ref="K131:K187" si="11">DATEDIF(F131,DATE(2027,3,31),"Y")</f>
        <v>22</v>
      </c>
      <c r="L131" s="28" t="str">
        <f t="shared" ref="L131:L187" si="12">"Greater Than "&amp;FLOOR(K131,25)</f>
        <v>Greater Than 0</v>
      </c>
      <c r="M131" s="46" t="s">
        <v>650</v>
      </c>
      <c r="N131" s="28"/>
      <c r="O131">
        <f t="shared" ref="O131:O187" si="13">K131/25</f>
        <v>0.88</v>
      </c>
      <c r="P131" t="b">
        <f t="shared" ref="P131:P187" si="14">MOD(O131,1)=0</f>
        <v>0</v>
      </c>
    </row>
    <row r="132" spans="1:16" x14ac:dyDescent="0.25">
      <c r="A132" s="29">
        <f t="shared" si="10"/>
        <v>131</v>
      </c>
      <c r="B132" s="30">
        <f>COUNTIF($C$2:C132,C132)</f>
        <v>32</v>
      </c>
      <c r="C132" s="31" t="s">
        <v>430</v>
      </c>
      <c r="D132" s="31" t="s">
        <v>494</v>
      </c>
      <c r="E132" s="31" t="s">
        <v>264</v>
      </c>
      <c r="F132" s="33">
        <v>38541</v>
      </c>
      <c r="G132" s="31" t="s">
        <v>495</v>
      </c>
      <c r="H132" s="33">
        <v>38588</v>
      </c>
      <c r="I132" s="29" t="s">
        <v>8</v>
      </c>
      <c r="J132" s="28" t="s">
        <v>494</v>
      </c>
      <c r="K132" s="28">
        <f t="shared" si="11"/>
        <v>21</v>
      </c>
      <c r="L132" s="28" t="str">
        <f t="shared" si="12"/>
        <v>Greater Than 0</v>
      </c>
      <c r="M132" s="46" t="s">
        <v>650</v>
      </c>
      <c r="N132" s="28"/>
      <c r="O132">
        <f t="shared" si="13"/>
        <v>0.84</v>
      </c>
      <c r="P132" t="b">
        <f t="shared" si="14"/>
        <v>0</v>
      </c>
    </row>
    <row r="133" spans="1:16" x14ac:dyDescent="0.25">
      <c r="A133" s="29">
        <f t="shared" si="10"/>
        <v>132</v>
      </c>
      <c r="B133" s="30">
        <f>COUNTIF($C$2:C133,C133)</f>
        <v>33</v>
      </c>
      <c r="C133" s="31" t="s">
        <v>430</v>
      </c>
      <c r="D133" s="31" t="s">
        <v>496</v>
      </c>
      <c r="E133" s="31" t="s">
        <v>264</v>
      </c>
      <c r="F133" s="33">
        <v>38968</v>
      </c>
      <c r="G133" s="31" t="s">
        <v>497</v>
      </c>
      <c r="H133" s="33">
        <v>38987</v>
      </c>
      <c r="I133" s="29" t="s">
        <v>1</v>
      </c>
      <c r="J133" s="28" t="s">
        <v>496</v>
      </c>
      <c r="K133" s="28">
        <f t="shared" si="11"/>
        <v>20</v>
      </c>
      <c r="L133" s="28" t="str">
        <f t="shared" si="12"/>
        <v>Greater Than 0</v>
      </c>
      <c r="M133" s="46" t="s">
        <v>650</v>
      </c>
      <c r="N133" s="28"/>
      <c r="O133">
        <f t="shared" si="13"/>
        <v>0.8</v>
      </c>
      <c r="P133" t="b">
        <f t="shared" si="14"/>
        <v>0</v>
      </c>
    </row>
    <row r="134" spans="1:16" x14ac:dyDescent="0.25">
      <c r="A134" s="29">
        <f t="shared" si="10"/>
        <v>133</v>
      </c>
      <c r="B134" s="30">
        <f>COUNTIF($C$2:C134,C134)</f>
        <v>34</v>
      </c>
      <c r="C134" s="31" t="s">
        <v>430</v>
      </c>
      <c r="D134" s="31" t="s">
        <v>498</v>
      </c>
      <c r="E134" s="31" t="s">
        <v>264</v>
      </c>
      <c r="F134" s="33">
        <v>39073</v>
      </c>
      <c r="G134" s="31" t="s">
        <v>499</v>
      </c>
      <c r="H134" s="33">
        <v>39084</v>
      </c>
      <c r="I134" s="29" t="s">
        <v>449</v>
      </c>
      <c r="J134" s="28" t="s">
        <v>498</v>
      </c>
      <c r="K134" s="28">
        <f t="shared" si="11"/>
        <v>20</v>
      </c>
      <c r="L134" s="28" t="str">
        <f t="shared" si="12"/>
        <v>Greater Than 0</v>
      </c>
      <c r="M134" s="46" t="s">
        <v>648</v>
      </c>
      <c r="N134" s="28"/>
      <c r="O134">
        <f t="shared" si="13"/>
        <v>0.8</v>
      </c>
      <c r="P134" t="b">
        <f t="shared" si="14"/>
        <v>0</v>
      </c>
    </row>
    <row r="135" spans="1:16" x14ac:dyDescent="0.25">
      <c r="A135" s="29">
        <f t="shared" si="10"/>
        <v>134</v>
      </c>
      <c r="B135" s="30">
        <f>COUNTIF($C$2:C135,C135)</f>
        <v>35</v>
      </c>
      <c r="C135" s="31" t="s">
        <v>430</v>
      </c>
      <c r="D135" s="31" t="s">
        <v>500</v>
      </c>
      <c r="E135" s="31" t="s">
        <v>264</v>
      </c>
      <c r="F135" s="33">
        <v>39438</v>
      </c>
      <c r="G135" s="31" t="s">
        <v>501</v>
      </c>
      <c r="H135" s="33">
        <v>39465</v>
      </c>
      <c r="I135" s="29" t="s">
        <v>1</v>
      </c>
      <c r="J135" s="28" t="s">
        <v>500</v>
      </c>
      <c r="K135" s="28">
        <f t="shared" si="11"/>
        <v>19</v>
      </c>
      <c r="L135" s="28" t="str">
        <f t="shared" si="12"/>
        <v>Greater Than 0</v>
      </c>
      <c r="M135" s="46" t="s">
        <v>648</v>
      </c>
      <c r="N135" s="28"/>
      <c r="O135">
        <f t="shared" si="13"/>
        <v>0.76</v>
      </c>
      <c r="P135" t="b">
        <f t="shared" si="14"/>
        <v>0</v>
      </c>
    </row>
    <row r="136" spans="1:16" x14ac:dyDescent="0.25">
      <c r="A136" s="29">
        <f t="shared" si="10"/>
        <v>135</v>
      </c>
      <c r="B136" s="30">
        <f>COUNTIF($C$2:C136,C136)</f>
        <v>36</v>
      </c>
      <c r="C136" s="31" t="s">
        <v>430</v>
      </c>
      <c r="D136" s="31" t="s">
        <v>502</v>
      </c>
      <c r="E136" s="31" t="s">
        <v>264</v>
      </c>
      <c r="F136" s="33">
        <v>39726</v>
      </c>
      <c r="G136" s="31" t="s">
        <v>503</v>
      </c>
      <c r="H136" s="33">
        <v>39734</v>
      </c>
      <c r="I136" s="29" t="s">
        <v>8</v>
      </c>
      <c r="J136" s="28" t="s">
        <v>502</v>
      </c>
      <c r="K136" s="28">
        <f t="shared" si="11"/>
        <v>18</v>
      </c>
      <c r="L136" s="28" t="str">
        <f t="shared" si="12"/>
        <v>Greater Than 0</v>
      </c>
      <c r="M136" s="46" t="s">
        <v>650</v>
      </c>
      <c r="N136" s="28"/>
      <c r="O136">
        <f t="shared" si="13"/>
        <v>0.72</v>
      </c>
      <c r="P136" t="b">
        <f t="shared" si="14"/>
        <v>0</v>
      </c>
    </row>
    <row r="137" spans="1:16" x14ac:dyDescent="0.25">
      <c r="A137" s="29">
        <f t="shared" si="10"/>
        <v>136</v>
      </c>
      <c r="B137" s="30">
        <f>COUNTIF($C$2:C137,C137)</f>
        <v>37</v>
      </c>
      <c r="C137" s="31" t="s">
        <v>430</v>
      </c>
      <c r="D137" s="31" t="s">
        <v>504</v>
      </c>
      <c r="E137" s="31" t="s">
        <v>264</v>
      </c>
      <c r="F137" s="33">
        <v>40191</v>
      </c>
      <c r="G137" s="31" t="s">
        <v>505</v>
      </c>
      <c r="H137" s="33">
        <v>40215</v>
      </c>
      <c r="I137" s="29" t="s">
        <v>8</v>
      </c>
      <c r="J137" s="28" t="s">
        <v>504</v>
      </c>
      <c r="K137" s="28">
        <f t="shared" si="11"/>
        <v>17</v>
      </c>
      <c r="L137" s="28" t="str">
        <f t="shared" si="12"/>
        <v>Greater Than 0</v>
      </c>
      <c r="M137" s="46" t="s">
        <v>648</v>
      </c>
      <c r="N137" s="28"/>
      <c r="O137">
        <f t="shared" si="13"/>
        <v>0.68</v>
      </c>
      <c r="P137" t="b">
        <f t="shared" si="14"/>
        <v>0</v>
      </c>
    </row>
    <row r="138" spans="1:16" x14ac:dyDescent="0.25">
      <c r="A138" s="29">
        <f t="shared" si="10"/>
        <v>137</v>
      </c>
      <c r="B138" s="30">
        <f>COUNTIF($C$2:C138,C138)</f>
        <v>38</v>
      </c>
      <c r="C138" s="31" t="s">
        <v>430</v>
      </c>
      <c r="D138" s="31" t="s">
        <v>506</v>
      </c>
      <c r="E138" s="31" t="s">
        <v>264</v>
      </c>
      <c r="F138" s="33">
        <v>40191</v>
      </c>
      <c r="G138" s="31" t="s">
        <v>507</v>
      </c>
      <c r="H138" s="33">
        <v>40218</v>
      </c>
      <c r="I138" s="29" t="s">
        <v>20</v>
      </c>
      <c r="J138" s="28" t="s">
        <v>506</v>
      </c>
      <c r="K138" s="28">
        <f t="shared" si="11"/>
        <v>17</v>
      </c>
      <c r="L138" s="28" t="str">
        <f t="shared" si="12"/>
        <v>Greater Than 0</v>
      </c>
      <c r="M138" s="46" t="s">
        <v>648</v>
      </c>
      <c r="N138" s="28"/>
      <c r="O138">
        <f t="shared" si="13"/>
        <v>0.68</v>
      </c>
      <c r="P138" t="b">
        <f t="shared" si="14"/>
        <v>0</v>
      </c>
    </row>
    <row r="139" spans="1:16" x14ac:dyDescent="0.25">
      <c r="A139" s="29">
        <f t="shared" si="10"/>
        <v>138</v>
      </c>
      <c r="B139" s="30">
        <f>COUNTIF($C$2:C139,C139)</f>
        <v>39</v>
      </c>
      <c r="C139" s="31" t="s">
        <v>430</v>
      </c>
      <c r="D139" s="31" t="s">
        <v>508</v>
      </c>
      <c r="E139" s="31" t="s">
        <v>264</v>
      </c>
      <c r="F139" s="33">
        <v>40191</v>
      </c>
      <c r="G139" s="31" t="s">
        <v>509</v>
      </c>
      <c r="H139" s="33">
        <v>40218</v>
      </c>
      <c r="I139" s="29" t="s">
        <v>8</v>
      </c>
      <c r="J139" s="28" t="s">
        <v>508</v>
      </c>
      <c r="K139" s="28">
        <f t="shared" si="11"/>
        <v>17</v>
      </c>
      <c r="L139" s="28" t="str">
        <f t="shared" si="12"/>
        <v>Greater Than 0</v>
      </c>
      <c r="M139" s="46" t="s">
        <v>648</v>
      </c>
      <c r="N139" s="28"/>
      <c r="O139">
        <f t="shared" si="13"/>
        <v>0.68</v>
      </c>
      <c r="P139" t="b">
        <f t="shared" si="14"/>
        <v>0</v>
      </c>
    </row>
    <row r="140" spans="1:16" x14ac:dyDescent="0.25">
      <c r="A140" s="29">
        <f t="shared" si="10"/>
        <v>139</v>
      </c>
      <c r="B140" s="30">
        <f>COUNTIF($C$2:C140,C140)</f>
        <v>40</v>
      </c>
      <c r="C140" s="31" t="s">
        <v>430</v>
      </c>
      <c r="D140" s="31" t="s">
        <v>510</v>
      </c>
      <c r="E140" s="31" t="s">
        <v>264</v>
      </c>
      <c r="F140" s="33">
        <v>41359</v>
      </c>
      <c r="G140" s="31" t="s">
        <v>511</v>
      </c>
      <c r="H140" s="33">
        <v>41389</v>
      </c>
      <c r="I140" s="29" t="s">
        <v>8</v>
      </c>
      <c r="J140" s="28" t="s">
        <v>510</v>
      </c>
      <c r="K140" s="28">
        <f t="shared" si="11"/>
        <v>14</v>
      </c>
      <c r="L140" s="28" t="str">
        <f t="shared" si="12"/>
        <v>Greater Than 0</v>
      </c>
      <c r="M140" s="46" t="s">
        <v>650</v>
      </c>
      <c r="N140" s="28"/>
      <c r="O140">
        <f t="shared" si="13"/>
        <v>0.56000000000000005</v>
      </c>
      <c r="P140" t="b">
        <f t="shared" si="14"/>
        <v>0</v>
      </c>
    </row>
    <row r="141" spans="1:16" x14ac:dyDescent="0.25">
      <c r="A141" s="29">
        <f t="shared" si="10"/>
        <v>140</v>
      </c>
      <c r="B141" s="30">
        <f>COUNTIF($C$2:C141,C141)</f>
        <v>41</v>
      </c>
      <c r="C141" s="31" t="s">
        <v>430</v>
      </c>
      <c r="D141" s="31" t="s">
        <v>512</v>
      </c>
      <c r="E141" s="31" t="s">
        <v>291</v>
      </c>
      <c r="F141" s="33">
        <v>41359</v>
      </c>
      <c r="G141" s="31" t="s">
        <v>513</v>
      </c>
      <c r="H141" s="33">
        <v>41389</v>
      </c>
      <c r="I141" s="29" t="s">
        <v>1</v>
      </c>
      <c r="J141" s="28" t="s">
        <v>512</v>
      </c>
      <c r="K141" s="28">
        <f t="shared" si="11"/>
        <v>14</v>
      </c>
      <c r="L141" s="28" t="str">
        <f t="shared" si="12"/>
        <v>Greater Than 0</v>
      </c>
      <c r="M141" s="46" t="s">
        <v>648</v>
      </c>
      <c r="N141" s="28"/>
      <c r="O141">
        <f t="shared" si="13"/>
        <v>0.56000000000000005</v>
      </c>
      <c r="P141" t="b">
        <f t="shared" si="14"/>
        <v>0</v>
      </c>
    </row>
    <row r="142" spans="1:16" x14ac:dyDescent="0.25">
      <c r="A142" s="29">
        <f t="shared" si="10"/>
        <v>141</v>
      </c>
      <c r="B142" s="30">
        <f>COUNTIF($C$2:C142,C142)</f>
        <v>42</v>
      </c>
      <c r="C142" s="31" t="s">
        <v>430</v>
      </c>
      <c r="D142" s="31" t="s">
        <v>514</v>
      </c>
      <c r="E142" s="31" t="s">
        <v>291</v>
      </c>
      <c r="F142" s="33">
        <v>41359</v>
      </c>
      <c r="G142" s="31" t="s">
        <v>515</v>
      </c>
      <c r="H142" s="33">
        <v>41389</v>
      </c>
      <c r="I142" s="29" t="s">
        <v>8</v>
      </c>
      <c r="J142" s="28" t="s">
        <v>514</v>
      </c>
      <c r="K142" s="28">
        <f t="shared" si="11"/>
        <v>14</v>
      </c>
      <c r="L142" s="28" t="str">
        <f t="shared" si="12"/>
        <v>Greater Than 0</v>
      </c>
      <c r="M142" s="46" t="s">
        <v>650</v>
      </c>
      <c r="N142" s="28"/>
      <c r="O142">
        <f t="shared" si="13"/>
        <v>0.56000000000000005</v>
      </c>
      <c r="P142" t="b">
        <f t="shared" si="14"/>
        <v>0</v>
      </c>
    </row>
    <row r="143" spans="1:16" x14ac:dyDescent="0.25">
      <c r="A143" s="29">
        <f t="shared" si="10"/>
        <v>142</v>
      </c>
      <c r="B143" s="30">
        <f>COUNTIF($C$2:C143,C143)</f>
        <v>43</v>
      </c>
      <c r="C143" s="31" t="s">
        <v>430</v>
      </c>
      <c r="D143" s="31" t="s">
        <v>516</v>
      </c>
      <c r="E143" s="31" t="s">
        <v>291</v>
      </c>
      <c r="F143" s="33">
        <v>41426</v>
      </c>
      <c r="G143" s="31" t="s">
        <v>517</v>
      </c>
      <c r="H143" s="33">
        <v>41428</v>
      </c>
      <c r="I143" s="29" t="s">
        <v>8</v>
      </c>
      <c r="J143" s="28" t="s">
        <v>516</v>
      </c>
      <c r="K143" s="28">
        <f t="shared" si="11"/>
        <v>13</v>
      </c>
      <c r="L143" s="28" t="str">
        <f t="shared" si="12"/>
        <v>Greater Than 0</v>
      </c>
      <c r="M143" s="46" t="s">
        <v>650</v>
      </c>
      <c r="N143" s="28"/>
      <c r="O143">
        <f t="shared" si="13"/>
        <v>0.52</v>
      </c>
      <c r="P143" t="b">
        <f t="shared" si="14"/>
        <v>0</v>
      </c>
    </row>
    <row r="144" spans="1:16" x14ac:dyDescent="0.25">
      <c r="A144" s="29">
        <f t="shared" si="10"/>
        <v>143</v>
      </c>
      <c r="B144" s="30">
        <f>COUNTIF($C$2:C144,C144)</f>
        <v>44</v>
      </c>
      <c r="C144" s="31" t="s">
        <v>430</v>
      </c>
      <c r="D144" s="31" t="s">
        <v>518</v>
      </c>
      <c r="E144" s="31" t="s">
        <v>291</v>
      </c>
      <c r="F144" s="33">
        <v>41680</v>
      </c>
      <c r="G144" s="31" t="s">
        <v>519</v>
      </c>
      <c r="H144" s="33">
        <v>45332</v>
      </c>
      <c r="I144" s="29" t="s">
        <v>8</v>
      </c>
      <c r="J144" s="28" t="s">
        <v>518</v>
      </c>
      <c r="K144" s="28">
        <f t="shared" si="11"/>
        <v>13</v>
      </c>
      <c r="L144" s="28" t="str">
        <f t="shared" si="12"/>
        <v>Greater Than 0</v>
      </c>
      <c r="M144" s="46" t="s">
        <v>648</v>
      </c>
      <c r="N144" s="28"/>
      <c r="O144">
        <f t="shared" si="13"/>
        <v>0.52</v>
      </c>
      <c r="P144" t="b">
        <f t="shared" si="14"/>
        <v>0</v>
      </c>
    </row>
    <row r="145" spans="1:16" x14ac:dyDescent="0.25">
      <c r="A145" s="29">
        <f t="shared" si="10"/>
        <v>144</v>
      </c>
      <c r="B145" s="30">
        <f>COUNTIF($C$2:C145,C145)</f>
        <v>45</v>
      </c>
      <c r="C145" s="31" t="s">
        <v>430</v>
      </c>
      <c r="D145" s="31" t="s">
        <v>520</v>
      </c>
      <c r="E145" s="31" t="s">
        <v>264</v>
      </c>
      <c r="F145" s="33">
        <v>42045</v>
      </c>
      <c r="G145" s="31" t="s">
        <v>521</v>
      </c>
      <c r="H145" s="33">
        <v>42100</v>
      </c>
      <c r="I145" s="29" t="s">
        <v>25</v>
      </c>
      <c r="J145" s="28" t="s">
        <v>520</v>
      </c>
      <c r="K145" s="28">
        <f t="shared" si="11"/>
        <v>12</v>
      </c>
      <c r="L145" s="28" t="str">
        <f t="shared" si="12"/>
        <v>Greater Than 0</v>
      </c>
      <c r="M145" s="46" t="s">
        <v>648</v>
      </c>
      <c r="N145" s="28"/>
      <c r="O145">
        <f t="shared" si="13"/>
        <v>0.48</v>
      </c>
      <c r="P145" t="b">
        <f t="shared" si="14"/>
        <v>0</v>
      </c>
    </row>
    <row r="146" spans="1:16" x14ac:dyDescent="0.25">
      <c r="A146" s="29">
        <f t="shared" si="10"/>
        <v>145</v>
      </c>
      <c r="B146" s="30">
        <f>COUNTIF($C$2:C146,C146)</f>
        <v>46</v>
      </c>
      <c r="C146" s="31" t="s">
        <v>430</v>
      </c>
      <c r="D146" s="31" t="s">
        <v>522</v>
      </c>
      <c r="E146" s="31" t="s">
        <v>264</v>
      </c>
      <c r="F146" s="33">
        <v>42045</v>
      </c>
      <c r="G146" s="31" t="s">
        <v>523</v>
      </c>
      <c r="H146" s="33">
        <v>42100</v>
      </c>
      <c r="I146" s="29" t="s">
        <v>25</v>
      </c>
      <c r="J146" s="28" t="s">
        <v>522</v>
      </c>
      <c r="K146" s="28">
        <f t="shared" si="11"/>
        <v>12</v>
      </c>
      <c r="L146" s="28" t="str">
        <f t="shared" si="12"/>
        <v>Greater Than 0</v>
      </c>
      <c r="M146" s="46" t="s">
        <v>648</v>
      </c>
      <c r="N146" s="28"/>
      <c r="O146">
        <f t="shared" si="13"/>
        <v>0.48</v>
      </c>
      <c r="P146" t="b">
        <f t="shared" si="14"/>
        <v>0</v>
      </c>
    </row>
    <row r="147" spans="1:16" x14ac:dyDescent="0.25">
      <c r="A147" s="29">
        <f t="shared" si="10"/>
        <v>146</v>
      </c>
      <c r="B147" s="30">
        <f>COUNTIF($C$2:C147,C147)</f>
        <v>47</v>
      </c>
      <c r="C147" s="31" t="s">
        <v>430</v>
      </c>
      <c r="D147" s="31" t="s">
        <v>524</v>
      </c>
      <c r="E147" s="31" t="s">
        <v>291</v>
      </c>
      <c r="F147" s="33">
        <v>43181</v>
      </c>
      <c r="G147" s="31" t="s">
        <v>525</v>
      </c>
      <c r="H147" s="33">
        <v>43228</v>
      </c>
      <c r="I147" s="29" t="s">
        <v>1</v>
      </c>
      <c r="J147" s="28" t="s">
        <v>524</v>
      </c>
      <c r="K147" s="28">
        <f t="shared" si="11"/>
        <v>9</v>
      </c>
      <c r="L147" s="28" t="str">
        <f t="shared" si="12"/>
        <v>Greater Than 0</v>
      </c>
      <c r="M147" s="46" t="s">
        <v>648</v>
      </c>
      <c r="N147" s="28"/>
      <c r="O147">
        <f t="shared" si="13"/>
        <v>0.36</v>
      </c>
      <c r="P147" t="b">
        <f t="shared" si="14"/>
        <v>0</v>
      </c>
    </row>
    <row r="148" spans="1:16" x14ac:dyDescent="0.25">
      <c r="A148" s="29">
        <f t="shared" si="10"/>
        <v>147</v>
      </c>
      <c r="B148" s="30">
        <f>COUNTIF($C$2:C148,C148)</f>
        <v>48</v>
      </c>
      <c r="C148" s="31" t="s">
        <v>430</v>
      </c>
      <c r="D148" s="31" t="s">
        <v>526</v>
      </c>
      <c r="E148" s="31" t="s">
        <v>264</v>
      </c>
      <c r="F148" s="33">
        <v>44700</v>
      </c>
      <c r="G148" s="31" t="s">
        <v>527</v>
      </c>
      <c r="H148" s="33">
        <v>44718</v>
      </c>
      <c r="I148" s="29" t="s">
        <v>48</v>
      </c>
      <c r="J148" s="28" t="s">
        <v>526</v>
      </c>
      <c r="K148" s="28">
        <f t="shared" si="11"/>
        <v>4</v>
      </c>
      <c r="L148" s="28" t="str">
        <f t="shared" si="12"/>
        <v>Greater Than 0</v>
      </c>
      <c r="M148" s="46" t="s">
        <v>648</v>
      </c>
      <c r="N148" s="28"/>
      <c r="O148">
        <f t="shared" si="13"/>
        <v>0.16</v>
      </c>
      <c r="P148" t="b">
        <f t="shared" si="14"/>
        <v>0</v>
      </c>
    </row>
    <row r="149" spans="1:16" x14ac:dyDescent="0.25">
      <c r="A149" s="29">
        <f t="shared" si="10"/>
        <v>148</v>
      </c>
      <c r="B149" s="30">
        <f>COUNTIF($C$2:C149,C149)</f>
        <v>49</v>
      </c>
      <c r="C149" s="31" t="s">
        <v>430</v>
      </c>
      <c r="D149" s="31" t="s">
        <v>528</v>
      </c>
      <c r="E149" s="31" t="s">
        <v>291</v>
      </c>
      <c r="F149" s="33">
        <v>44701</v>
      </c>
      <c r="G149" s="31" t="s">
        <v>529</v>
      </c>
      <c r="H149" s="33">
        <v>44718</v>
      </c>
      <c r="I149" s="29" t="s">
        <v>8</v>
      </c>
      <c r="J149" s="28" t="s">
        <v>528</v>
      </c>
      <c r="K149" s="28">
        <f t="shared" si="11"/>
        <v>4</v>
      </c>
      <c r="L149" s="28" t="str">
        <f t="shared" si="12"/>
        <v>Greater Than 0</v>
      </c>
      <c r="M149" s="46" t="s">
        <v>648</v>
      </c>
      <c r="N149" s="28"/>
      <c r="O149">
        <f t="shared" si="13"/>
        <v>0.16</v>
      </c>
      <c r="P149" t="b">
        <f t="shared" si="14"/>
        <v>0</v>
      </c>
    </row>
    <row r="150" spans="1:16" x14ac:dyDescent="0.25">
      <c r="A150" s="29">
        <f t="shared" si="10"/>
        <v>149</v>
      </c>
      <c r="B150" s="30">
        <f>COUNTIF($C$2:C150,C150)</f>
        <v>50</v>
      </c>
      <c r="C150" s="31" t="s">
        <v>430</v>
      </c>
      <c r="D150" s="31" t="s">
        <v>530</v>
      </c>
      <c r="E150" s="31" t="s">
        <v>291</v>
      </c>
      <c r="F150" s="33">
        <v>44944</v>
      </c>
      <c r="G150" s="31" t="s">
        <v>531</v>
      </c>
      <c r="H150" s="33">
        <v>44982</v>
      </c>
      <c r="I150" s="29" t="s">
        <v>20</v>
      </c>
      <c r="J150" s="28" t="s">
        <v>530</v>
      </c>
      <c r="K150" s="28">
        <f t="shared" si="11"/>
        <v>4</v>
      </c>
      <c r="L150" s="28" t="str">
        <f t="shared" si="12"/>
        <v>Greater Than 0</v>
      </c>
      <c r="M150" s="46" t="s">
        <v>648</v>
      </c>
      <c r="N150" s="28"/>
      <c r="O150">
        <f t="shared" si="13"/>
        <v>0.16</v>
      </c>
      <c r="P150" t="b">
        <f t="shared" si="14"/>
        <v>0</v>
      </c>
    </row>
    <row r="151" spans="1:16" x14ac:dyDescent="0.25">
      <c r="A151" s="29">
        <f t="shared" si="10"/>
        <v>150</v>
      </c>
      <c r="B151" s="30">
        <f>COUNTIF($C$2:C151,C151)</f>
        <v>51</v>
      </c>
      <c r="C151" s="31" t="s">
        <v>430</v>
      </c>
      <c r="D151" s="31" t="s">
        <v>532</v>
      </c>
      <c r="E151" s="31" t="s">
        <v>291</v>
      </c>
      <c r="F151" s="33">
        <v>45152</v>
      </c>
      <c r="G151" s="31" t="s">
        <v>533</v>
      </c>
      <c r="H151" s="33">
        <v>45198</v>
      </c>
      <c r="I151" s="29" t="s">
        <v>8</v>
      </c>
      <c r="J151" s="28" t="s">
        <v>532</v>
      </c>
      <c r="K151" s="28">
        <f t="shared" si="11"/>
        <v>3</v>
      </c>
      <c r="L151" s="28" t="str">
        <f t="shared" si="12"/>
        <v>Greater Than 0</v>
      </c>
      <c r="M151" s="46" t="s">
        <v>648</v>
      </c>
      <c r="N151" s="28"/>
      <c r="O151">
        <f t="shared" si="13"/>
        <v>0.12</v>
      </c>
      <c r="P151" t="b">
        <f t="shared" si="14"/>
        <v>0</v>
      </c>
    </row>
    <row r="152" spans="1:16" x14ac:dyDescent="0.25">
      <c r="A152" s="29">
        <f t="shared" si="10"/>
        <v>151</v>
      </c>
      <c r="B152" s="30">
        <f>COUNTIF($C$2:C152,C152)</f>
        <v>52</v>
      </c>
      <c r="C152" s="31" t="s">
        <v>430</v>
      </c>
      <c r="D152" s="31" t="s">
        <v>534</v>
      </c>
      <c r="E152" s="31" t="s">
        <v>291</v>
      </c>
      <c r="F152" s="33">
        <v>45152</v>
      </c>
      <c r="G152" s="31" t="s">
        <v>535</v>
      </c>
      <c r="H152" s="33">
        <v>45198</v>
      </c>
      <c r="I152" s="29" t="s">
        <v>20</v>
      </c>
      <c r="J152" s="28" t="s">
        <v>534</v>
      </c>
      <c r="K152" s="28">
        <f t="shared" si="11"/>
        <v>3</v>
      </c>
      <c r="L152" s="28" t="str">
        <f t="shared" si="12"/>
        <v>Greater Than 0</v>
      </c>
      <c r="M152" s="46" t="s">
        <v>648</v>
      </c>
      <c r="N152" s="28"/>
      <c r="O152">
        <f t="shared" si="13"/>
        <v>0.12</v>
      </c>
      <c r="P152" t="b">
        <f t="shared" si="14"/>
        <v>0</v>
      </c>
    </row>
    <row r="153" spans="1:16" x14ac:dyDescent="0.25">
      <c r="A153" s="29">
        <f t="shared" si="10"/>
        <v>152</v>
      </c>
      <c r="B153" s="30">
        <f>COUNTIF($C$2:C153,C153)</f>
        <v>53</v>
      </c>
      <c r="C153" s="31" t="s">
        <v>430</v>
      </c>
      <c r="D153" s="31" t="s">
        <v>536</v>
      </c>
      <c r="E153" s="31" t="s">
        <v>264</v>
      </c>
      <c r="F153" s="33">
        <v>45294</v>
      </c>
      <c r="G153" s="31" t="s">
        <v>537</v>
      </c>
      <c r="H153" s="33">
        <v>45314</v>
      </c>
      <c r="I153" s="29" t="s">
        <v>48</v>
      </c>
      <c r="J153" s="28" t="s">
        <v>536</v>
      </c>
      <c r="K153" s="28">
        <f t="shared" si="11"/>
        <v>3</v>
      </c>
      <c r="L153" s="28" t="str">
        <f t="shared" si="12"/>
        <v>Greater Than 0</v>
      </c>
      <c r="M153" s="46" t="s">
        <v>648</v>
      </c>
      <c r="N153" s="28"/>
      <c r="O153">
        <f t="shared" si="13"/>
        <v>0.12</v>
      </c>
      <c r="P153" t="b">
        <f t="shared" si="14"/>
        <v>0</v>
      </c>
    </row>
    <row r="154" spans="1:16" x14ac:dyDescent="0.25">
      <c r="A154" s="29">
        <f t="shared" si="10"/>
        <v>153</v>
      </c>
      <c r="B154" s="30">
        <f>COUNTIF($C$2:C154,C154)</f>
        <v>54</v>
      </c>
      <c r="C154" s="31" t="s">
        <v>430</v>
      </c>
      <c r="D154" s="31" t="s">
        <v>538</v>
      </c>
      <c r="E154" s="31" t="s">
        <v>291</v>
      </c>
      <c r="F154" s="33">
        <v>45294</v>
      </c>
      <c r="G154" s="31" t="s">
        <v>539</v>
      </c>
      <c r="H154" s="33">
        <v>45313</v>
      </c>
      <c r="I154" s="29" t="s">
        <v>48</v>
      </c>
      <c r="J154" s="28" t="s">
        <v>538</v>
      </c>
      <c r="K154" s="28">
        <f t="shared" si="11"/>
        <v>3</v>
      </c>
      <c r="L154" s="28" t="str">
        <f t="shared" si="12"/>
        <v>Greater Than 0</v>
      </c>
      <c r="M154" s="46" t="s">
        <v>648</v>
      </c>
      <c r="N154" s="28"/>
      <c r="O154">
        <f t="shared" si="13"/>
        <v>0.12</v>
      </c>
      <c r="P154" t="b">
        <f t="shared" si="14"/>
        <v>0</v>
      </c>
    </row>
    <row r="155" spans="1:16" x14ac:dyDescent="0.25">
      <c r="A155" s="29">
        <f t="shared" si="10"/>
        <v>154</v>
      </c>
      <c r="B155" s="30">
        <f>COUNTIF($C$2:C155,C155)</f>
        <v>55</v>
      </c>
      <c r="C155" s="31" t="s">
        <v>430</v>
      </c>
      <c r="D155" s="31" t="s">
        <v>540</v>
      </c>
      <c r="E155" s="31" t="s">
        <v>291</v>
      </c>
      <c r="F155" s="33">
        <v>45294</v>
      </c>
      <c r="G155" s="31" t="s">
        <v>541</v>
      </c>
      <c r="H155" s="33">
        <v>45313</v>
      </c>
      <c r="I155" s="29" t="s">
        <v>20</v>
      </c>
      <c r="J155" s="28" t="s">
        <v>540</v>
      </c>
      <c r="K155" s="28">
        <f t="shared" si="11"/>
        <v>3</v>
      </c>
      <c r="L155" s="28" t="str">
        <f t="shared" si="12"/>
        <v>Greater Than 0</v>
      </c>
      <c r="M155" s="46" t="s">
        <v>648</v>
      </c>
      <c r="N155" s="28"/>
      <c r="O155">
        <f t="shared" si="13"/>
        <v>0.12</v>
      </c>
      <c r="P155" t="b">
        <f t="shared" si="14"/>
        <v>0</v>
      </c>
    </row>
    <row r="156" spans="1:16" x14ac:dyDescent="0.25">
      <c r="A156" s="29">
        <f t="shared" si="10"/>
        <v>155</v>
      </c>
      <c r="B156" s="30">
        <f>COUNTIF($C$2:C156,C156)</f>
        <v>56</v>
      </c>
      <c r="C156" s="31" t="s">
        <v>430</v>
      </c>
      <c r="D156" s="31" t="s">
        <v>542</v>
      </c>
      <c r="E156" s="31" t="s">
        <v>264</v>
      </c>
      <c r="F156" s="33">
        <v>45329</v>
      </c>
      <c r="G156" s="31" t="s">
        <v>543</v>
      </c>
      <c r="H156" s="33">
        <v>45379</v>
      </c>
      <c r="I156" s="29" t="s">
        <v>449</v>
      </c>
      <c r="J156" s="28" t="s">
        <v>542</v>
      </c>
      <c r="K156" s="28">
        <f t="shared" si="11"/>
        <v>3</v>
      </c>
      <c r="L156" s="28" t="str">
        <f t="shared" si="12"/>
        <v>Greater Than 0</v>
      </c>
      <c r="M156" s="46" t="s">
        <v>648</v>
      </c>
      <c r="N156" s="28"/>
      <c r="O156">
        <f t="shared" si="13"/>
        <v>0.12</v>
      </c>
      <c r="P156" t="b">
        <f t="shared" si="14"/>
        <v>0</v>
      </c>
    </row>
    <row r="157" spans="1:16" x14ac:dyDescent="0.25">
      <c r="A157" s="29">
        <f t="shared" si="10"/>
        <v>156</v>
      </c>
      <c r="B157" s="30">
        <f>COUNTIF($C$2:C157,C157)</f>
        <v>57</v>
      </c>
      <c r="C157" s="31" t="s">
        <v>430</v>
      </c>
      <c r="D157" s="31" t="s">
        <v>544</v>
      </c>
      <c r="E157" s="31" t="s">
        <v>291</v>
      </c>
      <c r="F157" s="33">
        <v>45407</v>
      </c>
      <c r="G157" s="31" t="s">
        <v>545</v>
      </c>
      <c r="H157" s="33">
        <v>45422</v>
      </c>
      <c r="I157" s="29" t="s">
        <v>8</v>
      </c>
      <c r="J157" s="28" t="s">
        <v>544</v>
      </c>
      <c r="K157" s="28">
        <f t="shared" si="11"/>
        <v>2</v>
      </c>
      <c r="L157" s="28" t="str">
        <f t="shared" si="12"/>
        <v>Greater Than 0</v>
      </c>
      <c r="M157" s="46" t="s">
        <v>648</v>
      </c>
      <c r="N157" s="28" t="s">
        <v>665</v>
      </c>
      <c r="O157">
        <f t="shared" si="13"/>
        <v>0.08</v>
      </c>
      <c r="P157" t="b">
        <f t="shared" si="14"/>
        <v>0</v>
      </c>
    </row>
    <row r="158" spans="1:16" x14ac:dyDescent="0.25">
      <c r="A158" s="29">
        <f t="shared" si="10"/>
        <v>157</v>
      </c>
      <c r="B158" s="30">
        <f>COUNTIF($C$2:C158,C158)</f>
        <v>58</v>
      </c>
      <c r="C158" s="31" t="s">
        <v>430</v>
      </c>
      <c r="D158" s="31" t="s">
        <v>546</v>
      </c>
      <c r="E158" s="31" t="s">
        <v>291</v>
      </c>
      <c r="F158" s="33">
        <v>45839</v>
      </c>
      <c r="G158" s="31" t="s">
        <v>547</v>
      </c>
      <c r="H158" s="33">
        <v>45861</v>
      </c>
      <c r="I158" s="29" t="s">
        <v>8</v>
      </c>
      <c r="J158" s="28" t="s">
        <v>546</v>
      </c>
      <c r="K158" s="28">
        <f t="shared" si="11"/>
        <v>1</v>
      </c>
      <c r="L158" s="28" t="str">
        <f t="shared" si="12"/>
        <v>Greater Than 0</v>
      </c>
      <c r="M158" s="46" t="s">
        <v>648</v>
      </c>
      <c r="N158" s="28" t="s">
        <v>665</v>
      </c>
      <c r="O158">
        <f t="shared" si="13"/>
        <v>0.04</v>
      </c>
      <c r="P158" t="b">
        <f t="shared" si="14"/>
        <v>0</v>
      </c>
    </row>
    <row r="159" spans="1:16" x14ac:dyDescent="0.25">
      <c r="A159" s="29">
        <f t="shared" si="10"/>
        <v>158</v>
      </c>
      <c r="B159" s="30">
        <f>COUNTIF($C$2:C159,C159)</f>
        <v>59</v>
      </c>
      <c r="C159" s="31" t="s">
        <v>430</v>
      </c>
      <c r="D159" s="31" t="s">
        <v>548</v>
      </c>
      <c r="E159" s="31" t="s">
        <v>291</v>
      </c>
      <c r="F159" s="33">
        <v>45839</v>
      </c>
      <c r="G159" s="31" t="s">
        <v>549</v>
      </c>
      <c r="H159" s="33">
        <v>45861</v>
      </c>
      <c r="I159" s="29" t="s">
        <v>8</v>
      </c>
      <c r="J159" s="28" t="s">
        <v>548</v>
      </c>
      <c r="K159" s="28">
        <f t="shared" si="11"/>
        <v>1</v>
      </c>
      <c r="L159" s="28" t="str">
        <f t="shared" si="12"/>
        <v>Greater Than 0</v>
      </c>
      <c r="M159" s="46" t="s">
        <v>650</v>
      </c>
      <c r="N159" s="28" t="s">
        <v>665</v>
      </c>
      <c r="O159">
        <f t="shared" si="13"/>
        <v>0.04</v>
      </c>
      <c r="P159" t="b">
        <f t="shared" si="14"/>
        <v>0</v>
      </c>
    </row>
    <row r="160" spans="1:16" x14ac:dyDescent="0.25">
      <c r="A160" s="29">
        <f t="shared" si="10"/>
        <v>159</v>
      </c>
      <c r="B160" s="30">
        <f>COUNTIF($C$2:C160,C160)</f>
        <v>60</v>
      </c>
      <c r="C160" s="31" t="s">
        <v>430</v>
      </c>
      <c r="D160" s="31" t="s">
        <v>550</v>
      </c>
      <c r="E160" s="31" t="s">
        <v>291</v>
      </c>
      <c r="F160" s="33">
        <v>45839</v>
      </c>
      <c r="G160" s="31" t="s">
        <v>551</v>
      </c>
      <c r="H160" s="33">
        <v>45861</v>
      </c>
      <c r="I160" s="29" t="s">
        <v>8</v>
      </c>
      <c r="J160" s="28" t="s">
        <v>550</v>
      </c>
      <c r="K160" s="28">
        <f t="shared" si="11"/>
        <v>1</v>
      </c>
      <c r="L160" s="28" t="str">
        <f t="shared" si="12"/>
        <v>Greater Than 0</v>
      </c>
      <c r="M160" s="46" t="s">
        <v>648</v>
      </c>
      <c r="N160" s="28" t="s">
        <v>665</v>
      </c>
      <c r="O160">
        <f t="shared" si="13"/>
        <v>0.04</v>
      </c>
      <c r="P160" t="b">
        <f t="shared" si="14"/>
        <v>0</v>
      </c>
    </row>
    <row r="161" spans="1:16" x14ac:dyDescent="0.25">
      <c r="A161" s="29">
        <f t="shared" si="10"/>
        <v>160</v>
      </c>
      <c r="B161" s="30">
        <f>COUNTIF($C$2:C161,C161)</f>
        <v>61</v>
      </c>
      <c r="C161" s="31" t="s">
        <v>430</v>
      </c>
      <c r="D161" s="31" t="s">
        <v>552</v>
      </c>
      <c r="E161" s="31" t="s">
        <v>264</v>
      </c>
      <c r="F161" s="33">
        <v>45938</v>
      </c>
      <c r="G161" s="31" t="s">
        <v>553</v>
      </c>
      <c r="H161" s="33">
        <v>45965</v>
      </c>
      <c r="I161" s="29" t="s">
        <v>8</v>
      </c>
      <c r="J161" s="28" t="s">
        <v>552</v>
      </c>
      <c r="K161" s="28">
        <f t="shared" si="11"/>
        <v>1</v>
      </c>
      <c r="L161" s="28" t="str">
        <f t="shared" si="12"/>
        <v>Greater Than 0</v>
      </c>
      <c r="M161" s="46" t="s">
        <v>648</v>
      </c>
      <c r="N161" s="28" t="s">
        <v>665</v>
      </c>
      <c r="O161">
        <f t="shared" si="13"/>
        <v>0.04</v>
      </c>
      <c r="P161" t="b">
        <f t="shared" si="14"/>
        <v>0</v>
      </c>
    </row>
    <row r="162" spans="1:16" x14ac:dyDescent="0.25">
      <c r="A162" s="29">
        <v>161</v>
      </c>
      <c r="B162" s="30">
        <v>62</v>
      </c>
      <c r="C162" s="31" t="s">
        <v>430</v>
      </c>
      <c r="D162" s="31" t="s">
        <v>554</v>
      </c>
      <c r="E162" s="31" t="s">
        <v>264</v>
      </c>
      <c r="F162" s="33">
        <v>46059</v>
      </c>
      <c r="G162" s="31" t="s">
        <v>555</v>
      </c>
      <c r="H162" s="33">
        <v>46077</v>
      </c>
      <c r="I162" s="29" t="s">
        <v>449</v>
      </c>
      <c r="J162" s="28" t="s">
        <v>554</v>
      </c>
      <c r="K162" s="28">
        <f t="shared" si="11"/>
        <v>1</v>
      </c>
      <c r="L162" s="28" t="str">
        <f t="shared" si="12"/>
        <v>Greater Than 0</v>
      </c>
      <c r="M162" s="46" t="s">
        <v>648</v>
      </c>
      <c r="N162" s="28"/>
      <c r="O162">
        <f t="shared" si="13"/>
        <v>0.04</v>
      </c>
      <c r="P162" t="b">
        <f t="shared" si="14"/>
        <v>0</v>
      </c>
    </row>
    <row r="163" spans="1:16" x14ac:dyDescent="0.25">
      <c r="A163" s="21">
        <f t="shared" ref="A163:A187" si="15">ROW()-1</f>
        <v>162</v>
      </c>
      <c r="B163" s="22">
        <f>COUNTIF($C$2:C163,C163)</f>
        <v>1</v>
      </c>
      <c r="C163" s="23" t="s">
        <v>556</v>
      </c>
      <c r="D163" s="24" t="s">
        <v>557</v>
      </c>
      <c r="E163" s="25" t="s">
        <v>239</v>
      </c>
      <c r="F163" s="26">
        <v>26999</v>
      </c>
      <c r="G163" s="24" t="s">
        <v>558</v>
      </c>
      <c r="H163" s="26">
        <v>26999</v>
      </c>
      <c r="I163" s="21" t="s">
        <v>97</v>
      </c>
      <c r="J163" s="28" t="s">
        <v>557</v>
      </c>
      <c r="K163" s="28">
        <f t="shared" si="11"/>
        <v>53</v>
      </c>
      <c r="L163" s="28" t="str">
        <f t="shared" si="12"/>
        <v>Greater Than 50</v>
      </c>
      <c r="M163" s="46" t="s">
        <v>654</v>
      </c>
      <c r="N163" s="28"/>
      <c r="O163">
        <f t="shared" si="13"/>
        <v>2.12</v>
      </c>
      <c r="P163" t="b">
        <f t="shared" si="14"/>
        <v>0</v>
      </c>
    </row>
    <row r="164" spans="1:16" x14ac:dyDescent="0.25">
      <c r="A164" s="29">
        <f t="shared" si="15"/>
        <v>163</v>
      </c>
      <c r="B164" s="30">
        <f>COUNTIF($C$2:C164,C164)</f>
        <v>2</v>
      </c>
      <c r="C164" s="31" t="s">
        <v>556</v>
      </c>
      <c r="D164" s="31" t="s">
        <v>559</v>
      </c>
      <c r="E164" s="31" t="s">
        <v>239</v>
      </c>
      <c r="F164" s="33">
        <v>27282</v>
      </c>
      <c r="G164" s="31" t="s">
        <v>560</v>
      </c>
      <c r="H164" s="33">
        <v>27289</v>
      </c>
      <c r="I164" s="29" t="s">
        <v>96</v>
      </c>
      <c r="J164" s="28" t="s">
        <v>559</v>
      </c>
      <c r="K164" s="28">
        <f t="shared" si="11"/>
        <v>52</v>
      </c>
      <c r="L164" s="28" t="str">
        <f t="shared" si="12"/>
        <v>Greater Than 50</v>
      </c>
      <c r="M164" s="46" t="s">
        <v>654</v>
      </c>
      <c r="N164" s="28"/>
      <c r="O164">
        <f t="shared" si="13"/>
        <v>2.08</v>
      </c>
      <c r="P164" t="b">
        <f t="shared" si="14"/>
        <v>0</v>
      </c>
    </row>
    <row r="165" spans="1:16" x14ac:dyDescent="0.25">
      <c r="A165" s="29">
        <f t="shared" si="15"/>
        <v>164</v>
      </c>
      <c r="B165" s="30">
        <f>COUNTIF($C$2:C165,C165)</f>
        <v>3</v>
      </c>
      <c r="C165" s="31" t="s">
        <v>556</v>
      </c>
      <c r="D165" s="31" t="s">
        <v>561</v>
      </c>
      <c r="E165" s="31" t="s">
        <v>239</v>
      </c>
      <c r="F165" s="33">
        <v>28749</v>
      </c>
      <c r="G165" s="31" t="s">
        <v>562</v>
      </c>
      <c r="H165" s="33">
        <v>28797</v>
      </c>
      <c r="I165" s="29" t="s">
        <v>96</v>
      </c>
      <c r="J165" s="28" t="s">
        <v>561</v>
      </c>
      <c r="K165" s="28">
        <f t="shared" si="11"/>
        <v>48</v>
      </c>
      <c r="L165" s="28" t="str">
        <f t="shared" si="12"/>
        <v>Greater Than 25</v>
      </c>
      <c r="M165" s="46" t="s">
        <v>652</v>
      </c>
      <c r="N165" s="28"/>
      <c r="O165">
        <f t="shared" si="13"/>
        <v>1.92</v>
      </c>
      <c r="P165" t="b">
        <f t="shared" si="14"/>
        <v>0</v>
      </c>
    </row>
    <row r="166" spans="1:16" x14ac:dyDescent="0.25">
      <c r="A166" s="29">
        <f t="shared" si="15"/>
        <v>165</v>
      </c>
      <c r="B166" s="30">
        <f>COUNTIF($C$2:C166,C166)</f>
        <v>4</v>
      </c>
      <c r="C166" s="31" t="s">
        <v>556</v>
      </c>
      <c r="D166" s="31" t="s">
        <v>563</v>
      </c>
      <c r="E166" s="31" t="s">
        <v>239</v>
      </c>
      <c r="F166" s="33">
        <v>29313</v>
      </c>
      <c r="G166" s="31" t="s">
        <v>564</v>
      </c>
      <c r="H166" s="33">
        <v>29336</v>
      </c>
      <c r="I166" s="29" t="s">
        <v>99</v>
      </c>
      <c r="J166" s="28" t="s">
        <v>563</v>
      </c>
      <c r="K166" s="28">
        <f t="shared" si="11"/>
        <v>46</v>
      </c>
      <c r="L166" s="28" t="str">
        <f t="shared" si="12"/>
        <v>Greater Than 25</v>
      </c>
      <c r="M166" s="46" t="s">
        <v>654</v>
      </c>
      <c r="N166" s="28"/>
      <c r="O166">
        <f t="shared" si="13"/>
        <v>1.84</v>
      </c>
      <c r="P166" t="b">
        <f t="shared" si="14"/>
        <v>0</v>
      </c>
    </row>
    <row r="167" spans="1:16" x14ac:dyDescent="0.25">
      <c r="A167" s="29">
        <f t="shared" si="15"/>
        <v>166</v>
      </c>
      <c r="B167" s="30">
        <f>COUNTIF($C$2:C167,C167)</f>
        <v>5</v>
      </c>
      <c r="C167" s="31" t="s">
        <v>556</v>
      </c>
      <c r="D167" s="31" t="s">
        <v>565</v>
      </c>
      <c r="E167" s="31" t="s">
        <v>239</v>
      </c>
      <c r="F167" s="33">
        <v>29943</v>
      </c>
      <c r="G167" s="31" t="s">
        <v>566</v>
      </c>
      <c r="H167" s="33">
        <v>29962</v>
      </c>
      <c r="I167" s="29" t="s">
        <v>96</v>
      </c>
      <c r="J167" s="28" t="s">
        <v>565</v>
      </c>
      <c r="K167" s="28">
        <f t="shared" si="11"/>
        <v>45</v>
      </c>
      <c r="L167" s="28" t="str">
        <f t="shared" si="12"/>
        <v>Greater Than 25</v>
      </c>
      <c r="M167" s="46" t="s">
        <v>652</v>
      </c>
      <c r="N167" s="28"/>
      <c r="O167">
        <f t="shared" si="13"/>
        <v>1.8</v>
      </c>
      <c r="P167" t="b">
        <f t="shared" si="14"/>
        <v>0</v>
      </c>
    </row>
    <row r="168" spans="1:16" x14ac:dyDescent="0.25">
      <c r="A168" s="29">
        <f t="shared" si="15"/>
        <v>167</v>
      </c>
      <c r="B168" s="30">
        <f>COUNTIF($C$2:C168,C168)</f>
        <v>6</v>
      </c>
      <c r="C168" s="31" t="s">
        <v>556</v>
      </c>
      <c r="D168" s="31" t="s">
        <v>567</v>
      </c>
      <c r="E168" s="31" t="s">
        <v>239</v>
      </c>
      <c r="F168" s="33">
        <v>31897</v>
      </c>
      <c r="G168" s="31" t="s">
        <v>568</v>
      </c>
      <c r="H168" s="33">
        <v>31918</v>
      </c>
      <c r="I168" s="29" t="s">
        <v>99</v>
      </c>
      <c r="J168" s="28" t="s">
        <v>567</v>
      </c>
      <c r="K168" s="28">
        <f t="shared" si="11"/>
        <v>39</v>
      </c>
      <c r="L168" s="28" t="str">
        <f t="shared" si="12"/>
        <v>Greater Than 25</v>
      </c>
      <c r="M168" s="46" t="s">
        <v>648</v>
      </c>
      <c r="N168" s="28"/>
      <c r="O168">
        <f t="shared" si="13"/>
        <v>1.56</v>
      </c>
      <c r="P168" t="b">
        <f t="shared" si="14"/>
        <v>0</v>
      </c>
    </row>
    <row r="169" spans="1:16" x14ac:dyDescent="0.25">
      <c r="A169" s="29">
        <f t="shared" si="15"/>
        <v>168</v>
      </c>
      <c r="B169" s="30">
        <f>COUNTIF($C$2:C169,C169)</f>
        <v>7</v>
      </c>
      <c r="C169" s="31" t="s">
        <v>556</v>
      </c>
      <c r="D169" s="31" t="s">
        <v>569</v>
      </c>
      <c r="E169" s="31" t="s">
        <v>570</v>
      </c>
      <c r="F169" s="33">
        <v>31976</v>
      </c>
      <c r="G169" s="31" t="s">
        <v>571</v>
      </c>
      <c r="H169" s="33">
        <v>32013</v>
      </c>
      <c r="I169" s="29" t="s">
        <v>102</v>
      </c>
      <c r="J169" s="28" t="s">
        <v>631</v>
      </c>
      <c r="K169" s="28">
        <f t="shared" si="11"/>
        <v>39</v>
      </c>
      <c r="L169" s="28" t="str">
        <f t="shared" si="12"/>
        <v>Greater Than 25</v>
      </c>
      <c r="M169" s="46" t="s">
        <v>650</v>
      </c>
      <c r="N169" s="28"/>
      <c r="O169">
        <f t="shared" si="13"/>
        <v>1.56</v>
      </c>
      <c r="P169" t="b">
        <f t="shared" si="14"/>
        <v>0</v>
      </c>
    </row>
    <row r="170" spans="1:16" x14ac:dyDescent="0.25">
      <c r="A170" s="29">
        <f t="shared" si="15"/>
        <v>169</v>
      </c>
      <c r="B170" s="30">
        <f>COUNTIF($C$2:C170,C170)</f>
        <v>8</v>
      </c>
      <c r="C170" s="31" t="s">
        <v>556</v>
      </c>
      <c r="D170" s="31" t="s">
        <v>572</v>
      </c>
      <c r="E170" s="31" t="s">
        <v>573</v>
      </c>
      <c r="F170" s="33">
        <v>32365</v>
      </c>
      <c r="G170" s="31" t="s">
        <v>574</v>
      </c>
      <c r="H170" s="33">
        <v>32387</v>
      </c>
      <c r="I170" s="29" t="s">
        <v>106</v>
      </c>
      <c r="J170" s="28" t="s">
        <v>632</v>
      </c>
      <c r="K170" s="28">
        <f t="shared" si="11"/>
        <v>38</v>
      </c>
      <c r="L170" s="28" t="str">
        <f t="shared" si="12"/>
        <v>Greater Than 25</v>
      </c>
      <c r="M170" s="46" t="s">
        <v>650</v>
      </c>
      <c r="N170" s="28"/>
      <c r="O170">
        <f t="shared" si="13"/>
        <v>1.52</v>
      </c>
      <c r="P170" t="b">
        <f t="shared" si="14"/>
        <v>0</v>
      </c>
    </row>
    <row r="171" spans="1:16" x14ac:dyDescent="0.25">
      <c r="A171" s="29">
        <f t="shared" si="15"/>
        <v>170</v>
      </c>
      <c r="B171" s="30">
        <f>COUNTIF($C$2:C171,C171)</f>
        <v>9</v>
      </c>
      <c r="C171" s="31" t="s">
        <v>556</v>
      </c>
      <c r="D171" s="31" t="s">
        <v>575</v>
      </c>
      <c r="E171" s="31" t="s">
        <v>264</v>
      </c>
      <c r="F171" s="33">
        <v>32365</v>
      </c>
      <c r="G171" s="31" t="s">
        <v>576</v>
      </c>
      <c r="H171" s="33">
        <v>32385</v>
      </c>
      <c r="I171" s="29" t="s">
        <v>99</v>
      </c>
      <c r="J171" s="28" t="s">
        <v>575</v>
      </c>
      <c r="K171" s="28">
        <f t="shared" si="11"/>
        <v>38</v>
      </c>
      <c r="L171" s="28" t="str">
        <f t="shared" si="12"/>
        <v>Greater Than 25</v>
      </c>
      <c r="M171" s="46" t="s">
        <v>652</v>
      </c>
      <c r="N171" s="28"/>
      <c r="O171">
        <f t="shared" si="13"/>
        <v>1.52</v>
      </c>
      <c r="P171" t="b">
        <f t="shared" si="14"/>
        <v>0</v>
      </c>
    </row>
    <row r="172" spans="1:16" x14ac:dyDescent="0.25">
      <c r="A172" s="29">
        <f t="shared" si="15"/>
        <v>171</v>
      </c>
      <c r="B172" s="30">
        <f>COUNTIF($C$2:C172,C172)</f>
        <v>10</v>
      </c>
      <c r="C172" s="31" t="s">
        <v>556</v>
      </c>
      <c r="D172" s="31" t="s">
        <v>577</v>
      </c>
      <c r="E172" s="31" t="s">
        <v>264</v>
      </c>
      <c r="F172" s="33">
        <v>35947</v>
      </c>
      <c r="G172" s="31" t="s">
        <v>578</v>
      </c>
      <c r="H172" s="33">
        <v>36038</v>
      </c>
      <c r="I172" s="29" t="s">
        <v>99</v>
      </c>
      <c r="J172" s="28" t="s">
        <v>577</v>
      </c>
      <c r="K172" s="28">
        <f t="shared" si="11"/>
        <v>28</v>
      </c>
      <c r="L172" s="28" t="str">
        <f t="shared" si="12"/>
        <v>Greater Than 25</v>
      </c>
      <c r="M172" s="46" t="s">
        <v>650</v>
      </c>
      <c r="N172" s="28"/>
      <c r="O172">
        <f t="shared" si="13"/>
        <v>1.1200000000000001</v>
      </c>
      <c r="P172" t="b">
        <f t="shared" si="14"/>
        <v>0</v>
      </c>
    </row>
    <row r="173" spans="1:16" x14ac:dyDescent="0.25">
      <c r="A173" s="29">
        <f t="shared" si="15"/>
        <v>172</v>
      </c>
      <c r="B173" s="30">
        <f>COUNTIF($C$2:C173,C173)</f>
        <v>11</v>
      </c>
      <c r="C173" s="31" t="s">
        <v>556</v>
      </c>
      <c r="D173" s="31" t="s">
        <v>579</v>
      </c>
      <c r="E173" s="31" t="s">
        <v>264</v>
      </c>
      <c r="F173" s="33">
        <v>36219</v>
      </c>
      <c r="G173" s="31" t="s">
        <v>580</v>
      </c>
      <c r="H173" s="33">
        <v>36249</v>
      </c>
      <c r="I173" s="29" t="s">
        <v>99</v>
      </c>
      <c r="J173" s="28" t="s">
        <v>633</v>
      </c>
      <c r="K173" s="28">
        <f t="shared" si="11"/>
        <v>28</v>
      </c>
      <c r="L173" s="28" t="str">
        <f t="shared" si="12"/>
        <v>Greater Than 25</v>
      </c>
      <c r="M173" s="46" t="s">
        <v>656</v>
      </c>
      <c r="N173" s="28"/>
      <c r="O173">
        <f t="shared" si="13"/>
        <v>1.1200000000000001</v>
      </c>
      <c r="P173" t="b">
        <f t="shared" si="14"/>
        <v>0</v>
      </c>
    </row>
    <row r="174" spans="1:16" x14ac:dyDescent="0.25">
      <c r="A174" s="29">
        <f t="shared" si="15"/>
        <v>173</v>
      </c>
      <c r="B174" s="30">
        <f>COUNTIF($C$2:C174,C174)</f>
        <v>12</v>
      </c>
      <c r="C174" s="31" t="s">
        <v>556</v>
      </c>
      <c r="D174" s="31" t="s">
        <v>581</v>
      </c>
      <c r="E174" s="31" t="s">
        <v>264</v>
      </c>
      <c r="F174" s="33">
        <v>36219</v>
      </c>
      <c r="G174" s="31" t="s">
        <v>582</v>
      </c>
      <c r="H174" s="33">
        <v>36249</v>
      </c>
      <c r="I174" s="29" t="s">
        <v>99</v>
      </c>
      <c r="J174" s="28" t="s">
        <v>581</v>
      </c>
      <c r="K174" s="28">
        <f t="shared" si="11"/>
        <v>28</v>
      </c>
      <c r="L174" s="28" t="str">
        <f t="shared" si="12"/>
        <v>Greater Than 25</v>
      </c>
      <c r="M174" s="46" t="s">
        <v>650</v>
      </c>
      <c r="N174" s="28"/>
      <c r="O174">
        <f t="shared" si="13"/>
        <v>1.1200000000000001</v>
      </c>
      <c r="P174" t="b">
        <f t="shared" si="14"/>
        <v>0</v>
      </c>
    </row>
    <row r="175" spans="1:16" x14ac:dyDescent="0.25">
      <c r="A175" s="29">
        <f t="shared" si="15"/>
        <v>174</v>
      </c>
      <c r="B175" s="30">
        <f>COUNTIF($C$2:C175,C175)</f>
        <v>13</v>
      </c>
      <c r="C175" s="31" t="s">
        <v>556</v>
      </c>
      <c r="D175" s="31" t="s">
        <v>583</v>
      </c>
      <c r="E175" s="31" t="s">
        <v>264</v>
      </c>
      <c r="F175" s="33">
        <v>36261</v>
      </c>
      <c r="G175" s="31" t="s">
        <v>584</v>
      </c>
      <c r="H175" s="33">
        <v>36349</v>
      </c>
      <c r="I175" s="29" t="s">
        <v>96</v>
      </c>
      <c r="J175" s="28" t="s">
        <v>583</v>
      </c>
      <c r="K175" s="28">
        <f t="shared" si="11"/>
        <v>27</v>
      </c>
      <c r="L175" s="28" t="str">
        <f t="shared" si="12"/>
        <v>Greater Than 25</v>
      </c>
      <c r="M175" s="46" t="s">
        <v>650</v>
      </c>
      <c r="N175" s="28"/>
      <c r="O175">
        <f t="shared" si="13"/>
        <v>1.08</v>
      </c>
      <c r="P175" t="b">
        <f t="shared" si="14"/>
        <v>0</v>
      </c>
    </row>
    <row r="176" spans="1:16" x14ac:dyDescent="0.25">
      <c r="A176" s="29">
        <f t="shared" si="15"/>
        <v>175</v>
      </c>
      <c r="B176" s="30">
        <f>COUNTIF($C$2:C176,C176)</f>
        <v>14</v>
      </c>
      <c r="C176" s="31" t="s">
        <v>556</v>
      </c>
      <c r="D176" s="31" t="s">
        <v>585</v>
      </c>
      <c r="E176" s="32" t="s">
        <v>264</v>
      </c>
      <c r="F176" s="33">
        <v>36612</v>
      </c>
      <c r="G176" s="31" t="s">
        <v>586</v>
      </c>
      <c r="H176" s="33">
        <v>36623</v>
      </c>
      <c r="I176" s="29" t="s">
        <v>99</v>
      </c>
      <c r="J176" s="28" t="s">
        <v>585</v>
      </c>
      <c r="K176" s="28">
        <f t="shared" si="11"/>
        <v>27</v>
      </c>
      <c r="L176" s="28" t="str">
        <f t="shared" si="12"/>
        <v>Greater Than 25</v>
      </c>
      <c r="M176" s="46" t="s">
        <v>650</v>
      </c>
      <c r="N176" s="28"/>
      <c r="O176">
        <f t="shared" si="13"/>
        <v>1.08</v>
      </c>
      <c r="P176" t="b">
        <f t="shared" si="14"/>
        <v>0</v>
      </c>
    </row>
    <row r="177" spans="1:16" x14ac:dyDescent="0.25">
      <c r="A177" s="29">
        <f t="shared" si="15"/>
        <v>176</v>
      </c>
      <c r="B177" s="30">
        <f>COUNTIF($C$2:C177,C177)</f>
        <v>15</v>
      </c>
      <c r="C177" s="31" t="s">
        <v>556</v>
      </c>
      <c r="D177" s="31" t="s">
        <v>587</v>
      </c>
      <c r="E177" s="31" t="s">
        <v>264</v>
      </c>
      <c r="F177" s="33">
        <v>36612</v>
      </c>
      <c r="G177" s="31" t="s">
        <v>588</v>
      </c>
      <c r="H177" s="33">
        <v>36623</v>
      </c>
      <c r="I177" s="29" t="s">
        <v>96</v>
      </c>
      <c r="J177" s="28" t="s">
        <v>115</v>
      </c>
      <c r="K177" s="28">
        <f t="shared" si="11"/>
        <v>27</v>
      </c>
      <c r="L177" s="28" t="str">
        <f t="shared" si="12"/>
        <v>Greater Than 25</v>
      </c>
      <c r="M177" s="46" t="s">
        <v>652</v>
      </c>
      <c r="N177" s="28"/>
      <c r="O177">
        <f t="shared" si="13"/>
        <v>1.08</v>
      </c>
      <c r="P177" t="b">
        <f t="shared" si="14"/>
        <v>0</v>
      </c>
    </row>
    <row r="178" spans="1:16" x14ac:dyDescent="0.25">
      <c r="A178" s="29">
        <f t="shared" si="15"/>
        <v>177</v>
      </c>
      <c r="B178" s="30">
        <f>COUNTIF($C$2:C178,C178)</f>
        <v>16</v>
      </c>
      <c r="C178" s="31" t="s">
        <v>556</v>
      </c>
      <c r="D178" s="31" t="s">
        <v>589</v>
      </c>
      <c r="E178" s="31" t="s">
        <v>264</v>
      </c>
      <c r="F178" s="33">
        <v>37012</v>
      </c>
      <c r="G178" s="31" t="s">
        <v>590</v>
      </c>
      <c r="H178" s="33">
        <v>37021</v>
      </c>
      <c r="I178" s="29" t="s">
        <v>99</v>
      </c>
      <c r="J178" s="28" t="s">
        <v>589</v>
      </c>
      <c r="K178" s="28">
        <f t="shared" si="11"/>
        <v>25</v>
      </c>
      <c r="L178" s="28" t="str">
        <f t="shared" si="12"/>
        <v>Greater Than 25</v>
      </c>
      <c r="M178" s="46" t="s">
        <v>650</v>
      </c>
      <c r="N178" s="28"/>
      <c r="O178">
        <f t="shared" si="13"/>
        <v>1</v>
      </c>
      <c r="P178" s="2" t="b">
        <f t="shared" si="14"/>
        <v>1</v>
      </c>
    </row>
    <row r="179" spans="1:16" x14ac:dyDescent="0.25">
      <c r="A179" s="29">
        <f t="shared" si="15"/>
        <v>178</v>
      </c>
      <c r="B179" s="30">
        <f>COUNTIF($C$2:C179,C179)</f>
        <v>17</v>
      </c>
      <c r="C179" s="31" t="s">
        <v>556</v>
      </c>
      <c r="D179" s="31" t="s">
        <v>591</v>
      </c>
      <c r="E179" s="31" t="s">
        <v>264</v>
      </c>
      <c r="F179" s="33">
        <v>38056</v>
      </c>
      <c r="G179" s="31" t="s">
        <v>592</v>
      </c>
      <c r="H179" s="33">
        <v>38106</v>
      </c>
      <c r="I179" s="29" t="s">
        <v>99</v>
      </c>
      <c r="J179" s="28" t="s">
        <v>591</v>
      </c>
      <c r="K179" s="28">
        <f t="shared" si="11"/>
        <v>23</v>
      </c>
      <c r="L179" s="28" t="str">
        <f t="shared" si="12"/>
        <v>Greater Than 0</v>
      </c>
      <c r="M179" s="46" t="s">
        <v>650</v>
      </c>
      <c r="N179" s="28"/>
      <c r="O179">
        <f t="shared" si="13"/>
        <v>0.92</v>
      </c>
      <c r="P179" t="b">
        <f t="shared" si="14"/>
        <v>0</v>
      </c>
    </row>
    <row r="180" spans="1:16" x14ac:dyDescent="0.25">
      <c r="A180" s="29">
        <f t="shared" si="15"/>
        <v>179</v>
      </c>
      <c r="B180" s="30">
        <f>COUNTIF($C$2:C180,C180)</f>
        <v>18</v>
      </c>
      <c r="C180" s="31" t="s">
        <v>556</v>
      </c>
      <c r="D180" s="31" t="s">
        <v>593</v>
      </c>
      <c r="E180" s="31" t="s">
        <v>264</v>
      </c>
      <c r="F180" s="33">
        <v>39028</v>
      </c>
      <c r="G180" s="31" t="s">
        <v>594</v>
      </c>
      <c r="H180" s="33">
        <v>39098</v>
      </c>
      <c r="I180" s="29" t="s">
        <v>96</v>
      </c>
      <c r="J180" s="28" t="s">
        <v>593</v>
      </c>
      <c r="K180" s="28">
        <f t="shared" si="11"/>
        <v>20</v>
      </c>
      <c r="L180" s="28" t="str">
        <f t="shared" si="12"/>
        <v>Greater Than 0</v>
      </c>
      <c r="M180" s="46" t="s">
        <v>650</v>
      </c>
      <c r="N180" s="28"/>
      <c r="O180">
        <f t="shared" si="13"/>
        <v>0.8</v>
      </c>
      <c r="P180" t="b">
        <f t="shared" si="14"/>
        <v>0</v>
      </c>
    </row>
    <row r="181" spans="1:16" x14ac:dyDescent="0.25">
      <c r="A181" s="29">
        <f t="shared" si="15"/>
        <v>180</v>
      </c>
      <c r="B181" s="30">
        <f>COUNTIF($C$2:C181,C181)</f>
        <v>19</v>
      </c>
      <c r="C181" s="31" t="s">
        <v>556</v>
      </c>
      <c r="D181" s="31" t="s">
        <v>595</v>
      </c>
      <c r="E181" s="31" t="s">
        <v>291</v>
      </c>
      <c r="F181" s="33">
        <v>41426</v>
      </c>
      <c r="G181" s="31" t="s">
        <v>596</v>
      </c>
      <c r="H181" s="33">
        <v>41428</v>
      </c>
      <c r="I181" s="29" t="s">
        <v>99</v>
      </c>
      <c r="J181" s="28" t="s">
        <v>595</v>
      </c>
      <c r="K181" s="28">
        <f t="shared" si="11"/>
        <v>13</v>
      </c>
      <c r="L181" s="28" t="str">
        <f t="shared" si="12"/>
        <v>Greater Than 0</v>
      </c>
      <c r="M181" s="46" t="s">
        <v>648</v>
      </c>
      <c r="N181" s="28"/>
      <c r="O181">
        <f t="shared" si="13"/>
        <v>0.52</v>
      </c>
      <c r="P181" t="b">
        <f t="shared" si="14"/>
        <v>0</v>
      </c>
    </row>
    <row r="182" spans="1:16" x14ac:dyDescent="0.25">
      <c r="A182" s="29">
        <f t="shared" si="15"/>
        <v>181</v>
      </c>
      <c r="B182" s="30">
        <f>COUNTIF($C$2:C182,C182)</f>
        <v>20</v>
      </c>
      <c r="C182" s="31" t="s">
        <v>556</v>
      </c>
      <c r="D182" s="31" t="s">
        <v>597</v>
      </c>
      <c r="E182" s="31" t="s">
        <v>291</v>
      </c>
      <c r="F182" s="33">
        <v>41426</v>
      </c>
      <c r="G182" s="31" t="s">
        <v>598</v>
      </c>
      <c r="H182" s="33">
        <v>41428</v>
      </c>
      <c r="I182" s="29" t="s">
        <v>99</v>
      </c>
      <c r="J182" s="28" t="s">
        <v>597</v>
      </c>
      <c r="K182" s="28">
        <f t="shared" si="11"/>
        <v>13</v>
      </c>
      <c r="L182" s="28" t="str">
        <f t="shared" si="12"/>
        <v>Greater Than 0</v>
      </c>
      <c r="M182" s="46" t="s">
        <v>648</v>
      </c>
      <c r="N182" s="28"/>
      <c r="O182">
        <f t="shared" si="13"/>
        <v>0.52</v>
      </c>
      <c r="P182" t="b">
        <f t="shared" si="14"/>
        <v>0</v>
      </c>
    </row>
    <row r="183" spans="1:16" x14ac:dyDescent="0.25">
      <c r="A183" s="29">
        <f t="shared" si="15"/>
        <v>182</v>
      </c>
      <c r="B183" s="30">
        <f>COUNTIF($C$2:C183,C183)</f>
        <v>21</v>
      </c>
      <c r="C183" s="31" t="s">
        <v>556</v>
      </c>
      <c r="D183" s="31" t="s">
        <v>599</v>
      </c>
      <c r="E183" s="31" t="s">
        <v>291</v>
      </c>
      <c r="F183" s="33">
        <v>42552</v>
      </c>
      <c r="G183" s="31" t="s">
        <v>600</v>
      </c>
      <c r="H183" s="33">
        <v>42723</v>
      </c>
      <c r="I183" s="29" t="s">
        <v>99</v>
      </c>
      <c r="J183" s="28" t="s">
        <v>599</v>
      </c>
      <c r="K183" s="28">
        <f t="shared" si="11"/>
        <v>10</v>
      </c>
      <c r="L183" s="28" t="str">
        <f t="shared" si="12"/>
        <v>Greater Than 0</v>
      </c>
      <c r="M183" s="46" t="s">
        <v>648</v>
      </c>
      <c r="N183" s="28"/>
      <c r="O183">
        <f t="shared" si="13"/>
        <v>0.4</v>
      </c>
      <c r="P183" t="b">
        <f t="shared" si="14"/>
        <v>0</v>
      </c>
    </row>
    <row r="184" spans="1:16" x14ac:dyDescent="0.25">
      <c r="A184" s="29">
        <f t="shared" si="15"/>
        <v>183</v>
      </c>
      <c r="B184" s="30">
        <f>COUNTIF($C$2:C184,C184)</f>
        <v>22</v>
      </c>
      <c r="C184" s="31" t="s">
        <v>556</v>
      </c>
      <c r="D184" s="31" t="s">
        <v>601</v>
      </c>
      <c r="E184" s="31" t="s">
        <v>291</v>
      </c>
      <c r="F184" s="33">
        <v>42552</v>
      </c>
      <c r="G184" s="31" t="s">
        <v>602</v>
      </c>
      <c r="H184" s="33">
        <v>42662</v>
      </c>
      <c r="I184" s="29" t="s">
        <v>99</v>
      </c>
      <c r="J184" s="28" t="s">
        <v>601</v>
      </c>
      <c r="K184" s="28">
        <f t="shared" si="11"/>
        <v>10</v>
      </c>
      <c r="L184" s="28" t="str">
        <f t="shared" si="12"/>
        <v>Greater Than 0</v>
      </c>
      <c r="M184" s="46" t="s">
        <v>650</v>
      </c>
      <c r="N184" s="28"/>
      <c r="O184">
        <f t="shared" si="13"/>
        <v>0.4</v>
      </c>
      <c r="P184" t="b">
        <f t="shared" si="14"/>
        <v>0</v>
      </c>
    </row>
    <row r="185" spans="1:16" x14ac:dyDescent="0.25">
      <c r="A185" s="29">
        <f t="shared" si="15"/>
        <v>184</v>
      </c>
      <c r="B185" s="30">
        <f>COUNTIF($C$2:C185,C185)</f>
        <v>23</v>
      </c>
      <c r="C185" s="31" t="s">
        <v>556</v>
      </c>
      <c r="D185" s="31" t="s">
        <v>603</v>
      </c>
      <c r="E185" s="31" t="s">
        <v>291</v>
      </c>
      <c r="F185" s="33">
        <v>42552</v>
      </c>
      <c r="G185" s="31" t="s">
        <v>604</v>
      </c>
      <c r="H185" s="33">
        <v>42662</v>
      </c>
      <c r="I185" s="29" t="s">
        <v>99</v>
      </c>
      <c r="J185" s="28" t="s">
        <v>603</v>
      </c>
      <c r="K185" s="28">
        <f t="shared" si="11"/>
        <v>10</v>
      </c>
      <c r="L185" s="28" t="str">
        <f t="shared" si="12"/>
        <v>Greater Than 0</v>
      </c>
      <c r="M185" s="46" t="s">
        <v>648</v>
      </c>
      <c r="N185" s="28"/>
      <c r="O185">
        <f t="shared" si="13"/>
        <v>0.4</v>
      </c>
      <c r="P185" t="b">
        <f t="shared" si="14"/>
        <v>0</v>
      </c>
    </row>
    <row r="186" spans="1:16" x14ac:dyDescent="0.25">
      <c r="A186" s="29">
        <f t="shared" si="15"/>
        <v>185</v>
      </c>
      <c r="B186" s="30">
        <f>COUNTIF($C$2:C186,C186)</f>
        <v>24</v>
      </c>
      <c r="C186" s="31" t="s">
        <v>556</v>
      </c>
      <c r="D186" s="31" t="s">
        <v>605</v>
      </c>
      <c r="E186" s="31" t="s">
        <v>291</v>
      </c>
      <c r="F186" s="33">
        <v>42552</v>
      </c>
      <c r="G186" s="31" t="s">
        <v>606</v>
      </c>
      <c r="H186" s="33">
        <v>42662</v>
      </c>
      <c r="I186" s="29" t="s">
        <v>99</v>
      </c>
      <c r="J186" s="28" t="s">
        <v>605</v>
      </c>
      <c r="K186" s="28">
        <f t="shared" si="11"/>
        <v>10</v>
      </c>
      <c r="L186" s="28" t="str">
        <f t="shared" si="12"/>
        <v>Greater Than 0</v>
      </c>
      <c r="M186" s="46" t="s">
        <v>648</v>
      </c>
      <c r="N186" s="28"/>
      <c r="O186">
        <f t="shared" si="13"/>
        <v>0.4</v>
      </c>
      <c r="P186" t="b">
        <f t="shared" si="14"/>
        <v>0</v>
      </c>
    </row>
    <row r="187" spans="1:16" x14ac:dyDescent="0.25">
      <c r="A187" s="29">
        <f t="shared" si="15"/>
        <v>186</v>
      </c>
      <c r="B187" s="30">
        <f>COUNTIF($C$2:C187,C187)</f>
        <v>25</v>
      </c>
      <c r="C187" s="31" t="s">
        <v>556</v>
      </c>
      <c r="D187" s="31" t="s">
        <v>607</v>
      </c>
      <c r="E187" s="31" t="s">
        <v>264</v>
      </c>
      <c r="F187" s="33">
        <v>45152</v>
      </c>
      <c r="G187" s="31" t="s">
        <v>608</v>
      </c>
      <c r="H187" s="33">
        <v>45198</v>
      </c>
      <c r="I187" s="29" t="s">
        <v>96</v>
      </c>
      <c r="J187" s="28" t="s">
        <v>122</v>
      </c>
      <c r="K187" s="28">
        <f t="shared" si="11"/>
        <v>3</v>
      </c>
      <c r="L187" s="28" t="str">
        <f t="shared" si="12"/>
        <v>Greater Than 0</v>
      </c>
      <c r="M187" s="46" t="s">
        <v>648</v>
      </c>
      <c r="N187" s="28"/>
      <c r="O187">
        <f t="shared" si="13"/>
        <v>0.12</v>
      </c>
      <c r="P187" t="b">
        <f t="shared" si="14"/>
        <v>0</v>
      </c>
    </row>
  </sheetData>
  <autoFilter ref="A1:P187" xr:uid="{BA1AAFC1-A392-4DCF-9C30-45D89A3BB424}"/>
  <dataValidations disablePrompts="1" count="2">
    <dataValidation type="list" allowBlank="1" showInputMessage="1" showErrorMessage="1" sqref="D173 D147" xr:uid="{8BA40065-C4AA-4592-81F0-441C34CDEA08}">
      <formula1>Branch_name</formula1>
    </dataValidation>
    <dataValidation type="list" allowBlank="1" showInputMessage="1" showErrorMessage="1" sqref="J15 J35:J36 J39 J44 J47 J73 J81 J86:J87 J90 J177 J187" xr:uid="{8A31CA94-B1C6-4112-9630-2EFF08F3545B}">
      <formula1>budget_branch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CE06-1671-43B0-B8EC-C18D27804EBB}">
  <sheetPr>
    <tabColor theme="5" tint="-0.499984740745262"/>
  </sheetPr>
  <dimension ref="B1:D15"/>
  <sheetViews>
    <sheetView workbookViewId="0">
      <selection activeCell="A20" sqref="A20:G26"/>
    </sheetView>
  </sheetViews>
  <sheetFormatPr defaultRowHeight="15" x14ac:dyDescent="0.25"/>
  <cols>
    <col min="1" max="1" width="23.85546875" bestFit="1" customWidth="1"/>
    <col min="2" max="2" width="13.42578125" bestFit="1" customWidth="1"/>
    <col min="4" max="4" width="28.140625" customWidth="1"/>
  </cols>
  <sheetData>
    <row r="1" spans="2:4" x14ac:dyDescent="0.25">
      <c r="B1" s="4" t="s">
        <v>647</v>
      </c>
      <c r="D1" s="4" t="s">
        <v>646</v>
      </c>
    </row>
    <row r="2" spans="2:4" x14ac:dyDescent="0.25">
      <c r="B2" t="s">
        <v>649</v>
      </c>
      <c r="C2">
        <v>1</v>
      </c>
      <c r="D2" s="5" t="s">
        <v>648</v>
      </c>
    </row>
    <row r="3" spans="2:4" x14ac:dyDescent="0.25">
      <c r="B3" t="s">
        <v>651</v>
      </c>
      <c r="C3">
        <v>501</v>
      </c>
      <c r="D3" s="5" t="s">
        <v>650</v>
      </c>
    </row>
    <row r="4" spans="2:4" x14ac:dyDescent="0.25">
      <c r="B4" t="s">
        <v>653</v>
      </c>
      <c r="C4">
        <v>1001</v>
      </c>
      <c r="D4" s="5" t="s">
        <v>652</v>
      </c>
    </row>
    <row r="5" spans="2:4" x14ac:dyDescent="0.25">
      <c r="B5" t="s">
        <v>655</v>
      </c>
      <c r="C5">
        <v>2501</v>
      </c>
      <c r="D5" s="5" t="s">
        <v>654</v>
      </c>
    </row>
    <row r="6" spans="2:4" x14ac:dyDescent="0.25">
      <c r="B6" t="s">
        <v>657</v>
      </c>
      <c r="C6">
        <v>5001</v>
      </c>
      <c r="D6" s="5" t="s">
        <v>656</v>
      </c>
    </row>
    <row r="10" spans="2:4" x14ac:dyDescent="0.25">
      <c r="B10" s="50" t="s">
        <v>692</v>
      </c>
      <c r="D10" s="50" t="s">
        <v>694</v>
      </c>
    </row>
    <row r="11" spans="2:4" x14ac:dyDescent="0.25">
      <c r="B11" t="s">
        <v>688</v>
      </c>
      <c r="C11">
        <v>1</v>
      </c>
      <c r="D11" s="5" t="s">
        <v>648</v>
      </c>
    </row>
    <row r="12" spans="2:4" x14ac:dyDescent="0.25">
      <c r="B12" t="s">
        <v>689</v>
      </c>
      <c r="C12">
        <v>1001</v>
      </c>
      <c r="D12" s="5" t="s">
        <v>650</v>
      </c>
    </row>
    <row r="13" spans="2:4" x14ac:dyDescent="0.25">
      <c r="B13" t="s">
        <v>690</v>
      </c>
      <c r="C13">
        <v>3001</v>
      </c>
      <c r="D13" s="5" t="s">
        <v>652</v>
      </c>
    </row>
    <row r="14" spans="2:4" x14ac:dyDescent="0.25">
      <c r="B14" t="s">
        <v>691</v>
      </c>
      <c r="C14">
        <v>5001</v>
      </c>
      <c r="D14" s="5" t="s">
        <v>654</v>
      </c>
    </row>
    <row r="15" spans="2:4" x14ac:dyDescent="0.25">
      <c r="B15" t="s">
        <v>693</v>
      </c>
      <c r="C15">
        <v>10001</v>
      </c>
      <c r="D15" s="5" t="s">
        <v>656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5E7B-31BA-4E5C-B265-ED40A6535C8B}">
  <dimension ref="A3:F193"/>
  <sheetViews>
    <sheetView topLeftCell="A3" workbookViewId="0">
      <selection activeCell="A20" sqref="A20:G26"/>
    </sheetView>
  </sheetViews>
  <sheetFormatPr defaultRowHeight="15" x14ac:dyDescent="0.25"/>
  <cols>
    <col min="1" max="1" width="20.140625" style="37" bestFit="1" customWidth="1"/>
    <col min="2" max="2" width="23.85546875" style="37" customWidth="1"/>
    <col min="3" max="3" width="14.7109375" style="37" customWidth="1"/>
    <col min="4" max="4" width="8.85546875" style="37" customWidth="1"/>
    <col min="5" max="5" width="11.42578125" style="37" bestFit="1" customWidth="1"/>
    <col min="6" max="6" width="7.28515625" style="37" customWidth="1"/>
    <col min="7" max="16384" width="9.140625" style="37"/>
  </cols>
  <sheetData>
    <row r="3" spans="1:6" ht="30" x14ac:dyDescent="0.25">
      <c r="A3" s="36" t="s">
        <v>678</v>
      </c>
      <c r="B3" s="36" t="s">
        <v>675</v>
      </c>
      <c r="C3" s="36" t="s">
        <v>676</v>
      </c>
      <c r="D3" s="36" t="s">
        <v>666</v>
      </c>
      <c r="E3" s="36" t="s">
        <v>658</v>
      </c>
      <c r="F3" s="37" t="s">
        <v>679</v>
      </c>
    </row>
    <row r="4" spans="1:6" ht="30" x14ac:dyDescent="0.25">
      <c r="A4" s="37" t="s">
        <v>668</v>
      </c>
      <c r="B4" s="37" t="s">
        <v>266</v>
      </c>
      <c r="C4" s="38">
        <v>37513</v>
      </c>
      <c r="D4" s="37">
        <v>23</v>
      </c>
      <c r="E4" s="37" t="s">
        <v>650</v>
      </c>
      <c r="F4" s="37">
        <v>1</v>
      </c>
    </row>
    <row r="5" spans="1:6" x14ac:dyDescent="0.25">
      <c r="B5" s="37" t="s">
        <v>268</v>
      </c>
      <c r="C5" s="38">
        <v>37882</v>
      </c>
      <c r="D5" s="37">
        <v>22</v>
      </c>
      <c r="E5" s="37" t="s">
        <v>650</v>
      </c>
      <c r="F5" s="37">
        <v>1</v>
      </c>
    </row>
    <row r="6" spans="1:6" x14ac:dyDescent="0.25">
      <c r="B6" s="37" t="s">
        <v>500</v>
      </c>
      <c r="C6" s="38">
        <v>39438</v>
      </c>
      <c r="D6" s="37">
        <v>18</v>
      </c>
      <c r="E6" s="37" t="s">
        <v>648</v>
      </c>
      <c r="F6" s="37">
        <v>1</v>
      </c>
    </row>
    <row r="7" spans="1:6" x14ac:dyDescent="0.25">
      <c r="B7" s="37" t="s">
        <v>278</v>
      </c>
      <c r="C7" s="38">
        <v>39534</v>
      </c>
      <c r="D7" s="37">
        <v>18</v>
      </c>
      <c r="E7" s="37" t="s">
        <v>650</v>
      </c>
      <c r="F7" s="37">
        <v>1</v>
      </c>
    </row>
    <row r="8" spans="1:6" x14ac:dyDescent="0.25">
      <c r="B8" s="37" t="s">
        <v>387</v>
      </c>
      <c r="C8" s="38">
        <v>41720</v>
      </c>
      <c r="D8" s="37">
        <v>12</v>
      </c>
      <c r="E8" s="37" t="s">
        <v>650</v>
      </c>
      <c r="F8" s="37">
        <v>1</v>
      </c>
    </row>
    <row r="9" spans="1:6" x14ac:dyDescent="0.25">
      <c r="B9" s="37" t="s">
        <v>599</v>
      </c>
      <c r="C9" s="38">
        <v>42552</v>
      </c>
      <c r="D9" s="37">
        <v>9</v>
      </c>
      <c r="E9" s="37" t="s">
        <v>648</v>
      </c>
      <c r="F9" s="37">
        <v>1</v>
      </c>
    </row>
    <row r="10" spans="1:6" x14ac:dyDescent="0.25">
      <c r="B10" s="37" t="s">
        <v>502</v>
      </c>
      <c r="C10" s="38">
        <v>39726</v>
      </c>
      <c r="D10" s="37">
        <v>17</v>
      </c>
      <c r="E10" s="37" t="s">
        <v>650</v>
      </c>
      <c r="F10" s="37">
        <v>1</v>
      </c>
    </row>
    <row r="11" spans="1:6" x14ac:dyDescent="0.25">
      <c r="B11" s="37" t="s">
        <v>367</v>
      </c>
      <c r="C11" s="38">
        <v>38968</v>
      </c>
      <c r="D11" s="37">
        <v>19</v>
      </c>
      <c r="E11" s="37" t="s">
        <v>648</v>
      </c>
      <c r="F11" s="37">
        <v>1</v>
      </c>
    </row>
    <row r="12" spans="1:6" x14ac:dyDescent="0.25">
      <c r="B12" s="37" t="s">
        <v>526</v>
      </c>
      <c r="C12" s="38">
        <v>44700</v>
      </c>
      <c r="D12" s="37">
        <v>3</v>
      </c>
      <c r="E12" s="37" t="s">
        <v>648</v>
      </c>
      <c r="F12" s="37">
        <v>1</v>
      </c>
    </row>
    <row r="13" spans="1:6" x14ac:dyDescent="0.25">
      <c r="B13" s="37" t="s">
        <v>518</v>
      </c>
      <c r="C13" s="38">
        <v>41680</v>
      </c>
      <c r="D13" s="37">
        <v>12</v>
      </c>
      <c r="E13" s="37" t="s">
        <v>648</v>
      </c>
      <c r="F13" s="37">
        <v>1</v>
      </c>
    </row>
    <row r="14" spans="1:6" x14ac:dyDescent="0.25">
      <c r="B14" s="37" t="s">
        <v>276</v>
      </c>
      <c r="C14" s="38">
        <v>38968</v>
      </c>
      <c r="D14" s="37">
        <v>19</v>
      </c>
      <c r="E14" s="37" t="s">
        <v>648</v>
      </c>
      <c r="F14" s="37">
        <v>1</v>
      </c>
    </row>
    <row r="15" spans="1:6" x14ac:dyDescent="0.25">
      <c r="B15" s="37" t="s">
        <v>286</v>
      </c>
      <c r="C15" s="38">
        <v>40191</v>
      </c>
      <c r="D15" s="37">
        <v>16</v>
      </c>
      <c r="E15" s="37" t="s">
        <v>650</v>
      </c>
      <c r="F15" s="37">
        <v>1</v>
      </c>
    </row>
    <row r="16" spans="1:6" x14ac:dyDescent="0.25">
      <c r="B16" s="37" t="s">
        <v>488</v>
      </c>
      <c r="C16" s="38">
        <v>37012</v>
      </c>
      <c r="D16" s="37">
        <v>24</v>
      </c>
      <c r="E16" s="37" t="s">
        <v>650</v>
      </c>
      <c r="F16" s="37">
        <v>1</v>
      </c>
    </row>
    <row r="17" spans="2:6" x14ac:dyDescent="0.25">
      <c r="B17" s="37" t="s">
        <v>552</v>
      </c>
      <c r="C17" s="38">
        <v>45938</v>
      </c>
      <c r="D17" s="37">
        <v>0</v>
      </c>
      <c r="E17" s="37" t="s">
        <v>648</v>
      </c>
      <c r="F17" s="37">
        <v>1</v>
      </c>
    </row>
    <row r="18" spans="2:6" x14ac:dyDescent="0.25">
      <c r="B18" s="37" t="s">
        <v>601</v>
      </c>
      <c r="C18" s="38">
        <v>42552</v>
      </c>
      <c r="D18" s="37">
        <v>9</v>
      </c>
      <c r="E18" s="37" t="s">
        <v>650</v>
      </c>
      <c r="F18" s="37">
        <v>1</v>
      </c>
    </row>
    <row r="19" spans="2:6" x14ac:dyDescent="0.25">
      <c r="B19" s="37" t="s">
        <v>299</v>
      </c>
      <c r="C19" s="38">
        <v>42215</v>
      </c>
      <c r="D19" s="37">
        <v>10</v>
      </c>
      <c r="E19" s="37" t="s">
        <v>648</v>
      </c>
      <c r="F19" s="37">
        <v>1</v>
      </c>
    </row>
    <row r="20" spans="2:6" x14ac:dyDescent="0.25">
      <c r="B20" s="37" t="s">
        <v>494</v>
      </c>
      <c r="C20" s="38">
        <v>38541</v>
      </c>
      <c r="D20" s="37">
        <v>20</v>
      </c>
      <c r="E20" s="37" t="s">
        <v>650</v>
      </c>
      <c r="F20" s="37">
        <v>1</v>
      </c>
    </row>
    <row r="21" spans="2:6" x14ac:dyDescent="0.25">
      <c r="B21" s="37" t="s">
        <v>498</v>
      </c>
      <c r="C21" s="38">
        <v>39073</v>
      </c>
      <c r="D21" s="37">
        <v>19</v>
      </c>
      <c r="E21" s="37" t="s">
        <v>648</v>
      </c>
      <c r="F21" s="37">
        <v>1</v>
      </c>
    </row>
    <row r="22" spans="2:6" x14ac:dyDescent="0.25">
      <c r="B22" s="37" t="s">
        <v>428</v>
      </c>
      <c r="C22" s="38">
        <v>42630</v>
      </c>
      <c r="D22" s="37">
        <v>9</v>
      </c>
      <c r="E22" s="37" t="s">
        <v>648</v>
      </c>
      <c r="F22" s="37">
        <v>1</v>
      </c>
    </row>
    <row r="23" spans="2:6" x14ac:dyDescent="0.25">
      <c r="B23" s="37" t="s">
        <v>524</v>
      </c>
      <c r="C23" s="38">
        <v>43181</v>
      </c>
      <c r="D23" s="37">
        <v>8</v>
      </c>
      <c r="E23" s="37" t="s">
        <v>648</v>
      </c>
      <c r="F23" s="37">
        <v>1</v>
      </c>
    </row>
    <row r="24" spans="2:6" x14ac:dyDescent="0.25">
      <c r="B24" s="37" t="s">
        <v>514</v>
      </c>
      <c r="C24" s="38">
        <v>41359</v>
      </c>
      <c r="D24" s="37">
        <v>13</v>
      </c>
      <c r="E24" s="37" t="s">
        <v>650</v>
      </c>
      <c r="F24" s="37">
        <v>1</v>
      </c>
    </row>
    <row r="25" spans="2:6" x14ac:dyDescent="0.25">
      <c r="B25" s="37" t="s">
        <v>546</v>
      </c>
      <c r="C25" s="38">
        <v>45839</v>
      </c>
      <c r="D25" s="37">
        <v>0</v>
      </c>
      <c r="E25" s="37" t="s">
        <v>648</v>
      </c>
      <c r="F25" s="37">
        <v>1</v>
      </c>
    </row>
    <row r="26" spans="2:6" x14ac:dyDescent="0.25">
      <c r="B26" s="37" t="s">
        <v>536</v>
      </c>
      <c r="C26" s="38">
        <v>45294</v>
      </c>
      <c r="D26" s="37">
        <v>2</v>
      </c>
      <c r="E26" s="37" t="s">
        <v>648</v>
      </c>
      <c r="F26" s="37">
        <v>1</v>
      </c>
    </row>
    <row r="27" spans="2:6" x14ac:dyDescent="0.25">
      <c r="B27" s="37" t="s">
        <v>297</v>
      </c>
      <c r="C27" s="38">
        <v>41426</v>
      </c>
      <c r="D27" s="37">
        <v>12</v>
      </c>
      <c r="E27" s="37" t="s">
        <v>648</v>
      </c>
      <c r="F27" s="37">
        <v>1</v>
      </c>
    </row>
    <row r="28" spans="2:6" x14ac:dyDescent="0.25">
      <c r="B28" s="37" t="s">
        <v>420</v>
      </c>
      <c r="C28" s="38">
        <v>41642</v>
      </c>
      <c r="D28" s="37">
        <v>12</v>
      </c>
      <c r="E28" s="37" t="s">
        <v>648</v>
      </c>
      <c r="F28" s="37">
        <v>1</v>
      </c>
    </row>
    <row r="29" spans="2:6" x14ac:dyDescent="0.25">
      <c r="B29" s="37" t="s">
        <v>284</v>
      </c>
      <c r="C29" s="38">
        <v>40163</v>
      </c>
      <c r="D29" s="37">
        <v>16</v>
      </c>
      <c r="E29" s="37" t="s">
        <v>650</v>
      </c>
      <c r="F29" s="37">
        <v>1</v>
      </c>
    </row>
    <row r="30" spans="2:6" x14ac:dyDescent="0.25">
      <c r="B30" s="37" t="s">
        <v>307</v>
      </c>
      <c r="C30" s="38">
        <v>45008</v>
      </c>
      <c r="D30" s="37">
        <v>3</v>
      </c>
      <c r="E30" s="37" t="s">
        <v>650</v>
      </c>
      <c r="F30" s="37">
        <v>1</v>
      </c>
    </row>
    <row r="31" spans="2:6" x14ac:dyDescent="0.25">
      <c r="B31" s="37" t="s">
        <v>309</v>
      </c>
      <c r="C31" s="38">
        <v>45882</v>
      </c>
      <c r="D31" s="37">
        <v>0</v>
      </c>
      <c r="E31" s="37" t="s">
        <v>648</v>
      </c>
      <c r="F31" s="37">
        <v>1</v>
      </c>
    </row>
    <row r="32" spans="2:6" x14ac:dyDescent="0.25">
      <c r="B32" s="37" t="s">
        <v>496</v>
      </c>
      <c r="C32" s="38">
        <v>38968</v>
      </c>
      <c r="D32" s="37">
        <v>19</v>
      </c>
      <c r="E32" s="37" t="s">
        <v>650</v>
      </c>
      <c r="F32" s="37">
        <v>1</v>
      </c>
    </row>
    <row r="33" spans="2:6" x14ac:dyDescent="0.25">
      <c r="B33" s="37" t="s">
        <v>522</v>
      </c>
      <c r="C33" s="38">
        <v>42045</v>
      </c>
      <c r="D33" s="37">
        <v>11</v>
      </c>
      <c r="E33" s="37" t="s">
        <v>648</v>
      </c>
      <c r="F33" s="37">
        <v>1</v>
      </c>
    </row>
    <row r="34" spans="2:6" x14ac:dyDescent="0.25">
      <c r="B34" s="37" t="s">
        <v>528</v>
      </c>
      <c r="C34" s="38">
        <v>44701</v>
      </c>
      <c r="D34" s="37">
        <v>3</v>
      </c>
      <c r="E34" s="37" t="s">
        <v>648</v>
      </c>
      <c r="F34" s="37">
        <v>1</v>
      </c>
    </row>
    <row r="35" spans="2:6" x14ac:dyDescent="0.25">
      <c r="B35" s="37" t="s">
        <v>520</v>
      </c>
      <c r="C35" s="38">
        <v>42045</v>
      </c>
      <c r="D35" s="37">
        <v>11</v>
      </c>
      <c r="E35" s="37" t="s">
        <v>648</v>
      </c>
      <c r="F35" s="37">
        <v>1</v>
      </c>
    </row>
    <row r="36" spans="2:6" x14ac:dyDescent="0.25">
      <c r="B36" s="37" t="s">
        <v>305</v>
      </c>
      <c r="C36" s="38">
        <v>42552</v>
      </c>
      <c r="D36" s="37">
        <v>9</v>
      </c>
      <c r="E36" s="37" t="s">
        <v>648</v>
      </c>
      <c r="F36" s="37">
        <v>1</v>
      </c>
    </row>
    <row r="37" spans="2:6" x14ac:dyDescent="0.25">
      <c r="B37" s="37" t="s">
        <v>490</v>
      </c>
      <c r="C37" s="38">
        <v>38095</v>
      </c>
      <c r="D37" s="37">
        <v>21</v>
      </c>
      <c r="E37" s="37" t="s">
        <v>650</v>
      </c>
      <c r="F37" s="37">
        <v>1</v>
      </c>
    </row>
    <row r="38" spans="2:6" x14ac:dyDescent="0.25">
      <c r="B38" s="37" t="s">
        <v>263</v>
      </c>
      <c r="C38" s="38">
        <v>37326</v>
      </c>
      <c r="D38" s="37">
        <v>24</v>
      </c>
      <c r="E38" s="37" t="s">
        <v>650</v>
      </c>
      <c r="F38" s="37">
        <v>1</v>
      </c>
    </row>
    <row r="39" spans="2:6" x14ac:dyDescent="0.25">
      <c r="B39" s="37" t="s">
        <v>512</v>
      </c>
      <c r="C39" s="38">
        <v>41359</v>
      </c>
      <c r="D39" s="37">
        <v>13</v>
      </c>
      <c r="E39" s="37" t="s">
        <v>648</v>
      </c>
      <c r="F39" s="37">
        <v>1</v>
      </c>
    </row>
    <row r="40" spans="2:6" x14ac:dyDescent="0.25">
      <c r="B40" s="37" t="s">
        <v>426</v>
      </c>
      <c r="C40" s="38">
        <v>42592</v>
      </c>
      <c r="D40" s="37">
        <v>9</v>
      </c>
      <c r="E40" s="37" t="s">
        <v>648</v>
      </c>
      <c r="F40" s="37">
        <v>1</v>
      </c>
    </row>
    <row r="41" spans="2:6" x14ac:dyDescent="0.25">
      <c r="B41" s="37" t="s">
        <v>548</v>
      </c>
      <c r="C41" s="38">
        <v>45839</v>
      </c>
      <c r="D41" s="37">
        <v>0</v>
      </c>
      <c r="E41" s="37" t="s">
        <v>650</v>
      </c>
      <c r="F41" s="37">
        <v>1</v>
      </c>
    </row>
    <row r="42" spans="2:6" x14ac:dyDescent="0.25">
      <c r="B42" s="37" t="s">
        <v>395</v>
      </c>
      <c r="C42" s="38">
        <v>42774</v>
      </c>
      <c r="D42" s="37">
        <v>9</v>
      </c>
      <c r="E42" s="37" t="s">
        <v>650</v>
      </c>
      <c r="F42" s="37">
        <v>1</v>
      </c>
    </row>
    <row r="43" spans="2:6" x14ac:dyDescent="0.25">
      <c r="B43" s="37" t="s">
        <v>603</v>
      </c>
      <c r="C43" s="38">
        <v>42552</v>
      </c>
      <c r="D43" s="37">
        <v>9</v>
      </c>
      <c r="E43" s="37" t="s">
        <v>648</v>
      </c>
      <c r="F43" s="37">
        <v>1</v>
      </c>
    </row>
    <row r="44" spans="2:6" x14ac:dyDescent="0.25">
      <c r="B44" s="37" t="s">
        <v>369</v>
      </c>
      <c r="C44" s="38">
        <v>38968</v>
      </c>
      <c r="D44" s="37">
        <v>19</v>
      </c>
      <c r="E44" s="37" t="s">
        <v>650</v>
      </c>
      <c r="F44" s="37">
        <v>1</v>
      </c>
    </row>
    <row r="45" spans="2:6" x14ac:dyDescent="0.25">
      <c r="B45" s="37" t="s">
        <v>389</v>
      </c>
      <c r="C45" s="38">
        <v>42045</v>
      </c>
      <c r="D45" s="37">
        <v>11</v>
      </c>
      <c r="E45" s="37" t="s">
        <v>648</v>
      </c>
      <c r="F45" s="37">
        <v>1</v>
      </c>
    </row>
    <row r="46" spans="2:6" x14ac:dyDescent="0.25">
      <c r="B46" s="37" t="s">
        <v>301</v>
      </c>
      <c r="C46" s="38">
        <v>42386</v>
      </c>
      <c r="D46" s="37">
        <v>10</v>
      </c>
      <c r="E46" s="37" t="s">
        <v>654</v>
      </c>
      <c r="F46" s="37">
        <v>1</v>
      </c>
    </row>
    <row r="47" spans="2:6" ht="30" x14ac:dyDescent="0.25">
      <c r="B47" s="37" t="s">
        <v>391</v>
      </c>
      <c r="C47" s="38">
        <v>42230</v>
      </c>
      <c r="D47" s="37">
        <v>10</v>
      </c>
      <c r="E47" s="37" t="s">
        <v>654</v>
      </c>
      <c r="F47" s="37">
        <v>1</v>
      </c>
    </row>
    <row r="48" spans="2:6" x14ac:dyDescent="0.25">
      <c r="B48" s="37" t="s">
        <v>377</v>
      </c>
      <c r="C48" s="38">
        <v>40904</v>
      </c>
      <c r="D48" s="37">
        <v>14</v>
      </c>
      <c r="E48" s="37" t="s">
        <v>650</v>
      </c>
      <c r="F48" s="37">
        <v>1</v>
      </c>
    </row>
    <row r="49" spans="2:6" x14ac:dyDescent="0.25">
      <c r="B49" s="37" t="s">
        <v>379</v>
      </c>
      <c r="C49" s="38">
        <v>41642</v>
      </c>
      <c r="D49" s="37">
        <v>12</v>
      </c>
      <c r="E49" s="37" t="s">
        <v>650</v>
      </c>
      <c r="F49" s="37">
        <v>1</v>
      </c>
    </row>
    <row r="50" spans="2:6" x14ac:dyDescent="0.25">
      <c r="B50" s="37" t="s">
        <v>591</v>
      </c>
      <c r="C50" s="38">
        <v>38056</v>
      </c>
      <c r="D50" s="37">
        <v>22</v>
      </c>
      <c r="E50" s="37" t="s">
        <v>650</v>
      </c>
      <c r="F50" s="37">
        <v>1</v>
      </c>
    </row>
    <row r="51" spans="2:6" x14ac:dyDescent="0.25">
      <c r="B51" s="37" t="s">
        <v>399</v>
      </c>
      <c r="C51" s="38">
        <v>45804</v>
      </c>
      <c r="D51" s="37">
        <v>0</v>
      </c>
      <c r="E51" s="37" t="s">
        <v>648</v>
      </c>
      <c r="F51" s="37">
        <v>1</v>
      </c>
    </row>
    <row r="52" spans="2:6" x14ac:dyDescent="0.25">
      <c r="B52" s="37" t="s">
        <v>510</v>
      </c>
      <c r="C52" s="38">
        <v>41359</v>
      </c>
      <c r="D52" s="37">
        <v>13</v>
      </c>
      <c r="E52" s="37" t="s">
        <v>650</v>
      </c>
      <c r="F52" s="37">
        <v>1</v>
      </c>
    </row>
    <row r="53" spans="2:6" x14ac:dyDescent="0.25">
      <c r="B53" s="37" t="s">
        <v>554</v>
      </c>
      <c r="C53" s="38">
        <v>46059</v>
      </c>
      <c r="D53" s="37">
        <v>0</v>
      </c>
      <c r="E53" s="37" t="s">
        <v>648</v>
      </c>
      <c r="F53" s="37">
        <v>1</v>
      </c>
    </row>
    <row r="54" spans="2:6" x14ac:dyDescent="0.25">
      <c r="B54" s="37" t="s">
        <v>385</v>
      </c>
      <c r="C54" s="38">
        <v>41680</v>
      </c>
      <c r="D54" s="37">
        <v>12</v>
      </c>
      <c r="E54" s="37" t="s">
        <v>650</v>
      </c>
      <c r="F54" s="37">
        <v>1</v>
      </c>
    </row>
    <row r="55" spans="2:6" x14ac:dyDescent="0.25">
      <c r="B55" s="37" t="s">
        <v>605</v>
      </c>
      <c r="C55" s="38">
        <v>42552</v>
      </c>
      <c r="D55" s="37">
        <v>9</v>
      </c>
      <c r="E55" s="37" t="s">
        <v>648</v>
      </c>
      <c r="F55" s="37">
        <v>1</v>
      </c>
    </row>
    <row r="56" spans="2:6" x14ac:dyDescent="0.25">
      <c r="B56" s="37" t="s">
        <v>288</v>
      </c>
      <c r="C56" s="38">
        <v>40360</v>
      </c>
      <c r="D56" s="37">
        <v>15</v>
      </c>
      <c r="E56" s="37" t="s">
        <v>648</v>
      </c>
      <c r="F56" s="37">
        <v>1</v>
      </c>
    </row>
    <row r="57" spans="2:6" x14ac:dyDescent="0.25">
      <c r="B57" s="37" t="s">
        <v>607</v>
      </c>
      <c r="C57" s="38">
        <v>45152</v>
      </c>
      <c r="D57" s="37">
        <v>2</v>
      </c>
      <c r="E57" s="37" t="s">
        <v>648</v>
      </c>
      <c r="F57" s="37">
        <v>1</v>
      </c>
    </row>
    <row r="58" spans="2:6" x14ac:dyDescent="0.25">
      <c r="B58" s="37" t="s">
        <v>534</v>
      </c>
      <c r="C58" s="38">
        <v>45152</v>
      </c>
      <c r="D58" s="37">
        <v>2</v>
      </c>
      <c r="E58" s="37" t="s">
        <v>648</v>
      </c>
      <c r="F58" s="37">
        <v>1</v>
      </c>
    </row>
    <row r="59" spans="2:6" x14ac:dyDescent="0.25">
      <c r="B59" s="37" t="s">
        <v>311</v>
      </c>
      <c r="C59" s="38">
        <v>45938</v>
      </c>
      <c r="D59" s="37">
        <v>0</v>
      </c>
      <c r="E59" s="37" t="s">
        <v>648</v>
      </c>
      <c r="F59" s="37">
        <v>1</v>
      </c>
    </row>
    <row r="60" spans="2:6" x14ac:dyDescent="0.25">
      <c r="B60" s="37" t="s">
        <v>538</v>
      </c>
      <c r="C60" s="38">
        <v>45294</v>
      </c>
      <c r="D60" s="37">
        <v>2</v>
      </c>
      <c r="E60" s="37" t="s">
        <v>648</v>
      </c>
      <c r="F60" s="37">
        <v>1</v>
      </c>
    </row>
    <row r="61" spans="2:6" x14ac:dyDescent="0.25">
      <c r="B61" s="37" t="s">
        <v>550</v>
      </c>
      <c r="C61" s="38">
        <v>45839</v>
      </c>
      <c r="D61" s="37">
        <v>0</v>
      </c>
      <c r="E61" s="37" t="s">
        <v>648</v>
      </c>
      <c r="F61" s="37">
        <v>1</v>
      </c>
    </row>
    <row r="62" spans="2:6" x14ac:dyDescent="0.25">
      <c r="B62" s="37" t="s">
        <v>295</v>
      </c>
      <c r="C62" s="38">
        <v>41426</v>
      </c>
      <c r="D62" s="37">
        <v>12</v>
      </c>
      <c r="E62" s="37" t="s">
        <v>648</v>
      </c>
      <c r="F62" s="37">
        <v>1</v>
      </c>
    </row>
    <row r="63" spans="2:6" x14ac:dyDescent="0.25">
      <c r="B63" s="37" t="s">
        <v>274</v>
      </c>
      <c r="C63" s="38">
        <v>38687</v>
      </c>
      <c r="D63" s="37">
        <v>20</v>
      </c>
      <c r="E63" s="37" t="s">
        <v>654</v>
      </c>
      <c r="F63" s="37">
        <v>1</v>
      </c>
    </row>
    <row r="64" spans="2:6" x14ac:dyDescent="0.25">
      <c r="B64" s="37" t="s">
        <v>293</v>
      </c>
      <c r="C64" s="38">
        <v>41359</v>
      </c>
      <c r="D64" s="37">
        <v>13</v>
      </c>
      <c r="E64" s="37" t="s">
        <v>648</v>
      </c>
      <c r="F64" s="37">
        <v>1</v>
      </c>
    </row>
    <row r="65" spans="2:6" x14ac:dyDescent="0.25">
      <c r="B65" s="37" t="s">
        <v>540</v>
      </c>
      <c r="C65" s="38">
        <v>45294</v>
      </c>
      <c r="D65" s="37">
        <v>2</v>
      </c>
      <c r="E65" s="37" t="s">
        <v>648</v>
      </c>
      <c r="F65" s="37">
        <v>1</v>
      </c>
    </row>
    <row r="66" spans="2:6" x14ac:dyDescent="0.25">
      <c r="B66" s="37" t="s">
        <v>371</v>
      </c>
      <c r="C66" s="38">
        <v>39073</v>
      </c>
      <c r="D66" s="37">
        <v>19</v>
      </c>
      <c r="E66" s="37" t="s">
        <v>650</v>
      </c>
      <c r="F66" s="37">
        <v>1</v>
      </c>
    </row>
    <row r="67" spans="2:6" x14ac:dyDescent="0.25">
      <c r="B67" s="37" t="s">
        <v>401</v>
      </c>
      <c r="C67" s="38">
        <v>45804</v>
      </c>
      <c r="D67" s="37">
        <v>0</v>
      </c>
      <c r="E67" s="37" t="s">
        <v>648</v>
      </c>
      <c r="F67" s="37">
        <v>1</v>
      </c>
    </row>
    <row r="68" spans="2:6" x14ac:dyDescent="0.25">
      <c r="B68" s="37" t="s">
        <v>383</v>
      </c>
      <c r="C68" s="38">
        <v>41642</v>
      </c>
      <c r="D68" s="37">
        <v>12</v>
      </c>
      <c r="E68" s="37" t="s">
        <v>650</v>
      </c>
      <c r="F68" s="37">
        <v>1</v>
      </c>
    </row>
    <row r="69" spans="2:6" x14ac:dyDescent="0.25">
      <c r="B69" s="37" t="s">
        <v>504</v>
      </c>
      <c r="C69" s="38">
        <v>40191</v>
      </c>
      <c r="D69" s="37">
        <v>16</v>
      </c>
      <c r="E69" s="37" t="s">
        <v>648</v>
      </c>
      <c r="F69" s="37">
        <v>1</v>
      </c>
    </row>
    <row r="70" spans="2:6" x14ac:dyDescent="0.25">
      <c r="B70" s="37" t="s">
        <v>280</v>
      </c>
      <c r="C70" s="38">
        <v>39534</v>
      </c>
      <c r="D70" s="37">
        <v>18</v>
      </c>
      <c r="E70" s="37" t="s">
        <v>654</v>
      </c>
      <c r="F70" s="37">
        <v>1</v>
      </c>
    </row>
    <row r="71" spans="2:6" x14ac:dyDescent="0.25">
      <c r="B71" s="37" t="s">
        <v>542</v>
      </c>
      <c r="C71" s="38">
        <v>45329</v>
      </c>
      <c r="D71" s="37">
        <v>2</v>
      </c>
      <c r="E71" s="37" t="s">
        <v>648</v>
      </c>
      <c r="F71" s="37">
        <v>1</v>
      </c>
    </row>
    <row r="72" spans="2:6" x14ac:dyDescent="0.25">
      <c r="B72" s="37" t="s">
        <v>365</v>
      </c>
      <c r="C72" s="38">
        <v>38842</v>
      </c>
      <c r="D72" s="37">
        <v>19</v>
      </c>
      <c r="E72" s="37" t="s">
        <v>650</v>
      </c>
      <c r="F72" s="37">
        <v>1</v>
      </c>
    </row>
    <row r="73" spans="2:6" x14ac:dyDescent="0.25">
      <c r="B73" s="37" t="s">
        <v>532</v>
      </c>
      <c r="C73" s="38">
        <v>45152</v>
      </c>
      <c r="D73" s="37">
        <v>2</v>
      </c>
      <c r="E73" s="37" t="s">
        <v>648</v>
      </c>
      <c r="F73" s="37">
        <v>1</v>
      </c>
    </row>
    <row r="74" spans="2:6" x14ac:dyDescent="0.25">
      <c r="B74" s="37" t="s">
        <v>424</v>
      </c>
      <c r="C74" s="38">
        <v>41680</v>
      </c>
      <c r="D74" s="37">
        <v>12</v>
      </c>
      <c r="E74" s="37" t="s">
        <v>648</v>
      </c>
      <c r="F74" s="37">
        <v>1</v>
      </c>
    </row>
    <row r="75" spans="2:6" x14ac:dyDescent="0.25">
      <c r="B75" s="37" t="s">
        <v>303</v>
      </c>
      <c r="C75" s="38">
        <v>42552</v>
      </c>
      <c r="D75" s="37">
        <v>9</v>
      </c>
      <c r="E75" s="37" t="s">
        <v>648</v>
      </c>
      <c r="F75" s="37">
        <v>1</v>
      </c>
    </row>
    <row r="76" spans="2:6" x14ac:dyDescent="0.25">
      <c r="B76" s="37" t="s">
        <v>506</v>
      </c>
      <c r="C76" s="38">
        <v>40191</v>
      </c>
      <c r="D76" s="37">
        <v>16</v>
      </c>
      <c r="E76" s="37" t="s">
        <v>648</v>
      </c>
      <c r="F76" s="37">
        <v>1</v>
      </c>
    </row>
    <row r="77" spans="2:6" x14ac:dyDescent="0.25">
      <c r="B77" s="37" t="s">
        <v>595</v>
      </c>
      <c r="C77" s="38">
        <v>41426</v>
      </c>
      <c r="D77" s="37">
        <v>12</v>
      </c>
      <c r="E77" s="37" t="s">
        <v>648</v>
      </c>
      <c r="F77" s="37">
        <v>1</v>
      </c>
    </row>
    <row r="78" spans="2:6" x14ac:dyDescent="0.25">
      <c r="B78" s="37" t="s">
        <v>418</v>
      </c>
      <c r="C78" s="38">
        <v>38842</v>
      </c>
      <c r="D78" s="37">
        <v>19</v>
      </c>
      <c r="E78" s="37" t="s">
        <v>648</v>
      </c>
      <c r="F78" s="37">
        <v>1</v>
      </c>
    </row>
    <row r="79" spans="2:6" x14ac:dyDescent="0.25">
      <c r="B79" s="37" t="s">
        <v>593</v>
      </c>
      <c r="C79" s="38">
        <v>39028</v>
      </c>
      <c r="D79" s="37">
        <v>19</v>
      </c>
      <c r="E79" s="37" t="s">
        <v>650</v>
      </c>
      <c r="F79" s="37">
        <v>1</v>
      </c>
    </row>
    <row r="80" spans="2:6" x14ac:dyDescent="0.25">
      <c r="B80" s="37" t="s">
        <v>290</v>
      </c>
      <c r="C80" s="38">
        <v>41359</v>
      </c>
      <c r="D80" s="37">
        <v>13</v>
      </c>
      <c r="E80" s="37" t="s">
        <v>648</v>
      </c>
      <c r="F80" s="37">
        <v>1</v>
      </c>
    </row>
    <row r="81" spans="2:6" x14ac:dyDescent="0.25">
      <c r="B81" s="37" t="s">
        <v>530</v>
      </c>
      <c r="C81" s="38">
        <v>44944</v>
      </c>
      <c r="D81" s="37">
        <v>3</v>
      </c>
      <c r="E81" s="37" t="s">
        <v>648</v>
      </c>
      <c r="F81" s="37">
        <v>1</v>
      </c>
    </row>
    <row r="82" spans="2:6" x14ac:dyDescent="0.25">
      <c r="B82" s="37" t="s">
        <v>516</v>
      </c>
      <c r="C82" s="38">
        <v>41426</v>
      </c>
      <c r="D82" s="37">
        <v>12</v>
      </c>
      <c r="E82" s="37" t="s">
        <v>650</v>
      </c>
      <c r="F82" s="37">
        <v>1</v>
      </c>
    </row>
    <row r="83" spans="2:6" x14ac:dyDescent="0.25">
      <c r="B83" s="37" t="s">
        <v>597</v>
      </c>
      <c r="C83" s="38">
        <v>41426</v>
      </c>
      <c r="D83" s="37">
        <v>12</v>
      </c>
      <c r="E83" s="37" t="s">
        <v>648</v>
      </c>
      <c r="F83" s="37">
        <v>1</v>
      </c>
    </row>
    <row r="84" spans="2:6" x14ac:dyDescent="0.25">
      <c r="B84" s="37" t="s">
        <v>375</v>
      </c>
      <c r="C84" s="38">
        <v>40856</v>
      </c>
      <c r="D84" s="37">
        <v>14</v>
      </c>
      <c r="E84" s="37" t="s">
        <v>648</v>
      </c>
      <c r="F84" s="37">
        <v>1</v>
      </c>
    </row>
    <row r="85" spans="2:6" x14ac:dyDescent="0.25">
      <c r="B85" s="37" t="s">
        <v>589</v>
      </c>
      <c r="C85" s="38">
        <v>37012</v>
      </c>
      <c r="D85" s="37">
        <v>24</v>
      </c>
      <c r="E85" s="37" t="s">
        <v>650</v>
      </c>
      <c r="F85" s="37">
        <v>1</v>
      </c>
    </row>
    <row r="86" spans="2:6" x14ac:dyDescent="0.25">
      <c r="B86" s="37" t="s">
        <v>508</v>
      </c>
      <c r="C86" s="38">
        <v>40191</v>
      </c>
      <c r="D86" s="37">
        <v>16</v>
      </c>
      <c r="E86" s="37" t="s">
        <v>648</v>
      </c>
      <c r="F86" s="37">
        <v>1</v>
      </c>
    </row>
    <row r="87" spans="2:6" x14ac:dyDescent="0.25">
      <c r="B87" s="37" t="s">
        <v>270</v>
      </c>
      <c r="C87" s="38">
        <v>38374</v>
      </c>
      <c r="D87" s="37">
        <v>21</v>
      </c>
      <c r="E87" s="37" t="s">
        <v>656</v>
      </c>
      <c r="F87" s="37">
        <v>1</v>
      </c>
    </row>
    <row r="88" spans="2:6" x14ac:dyDescent="0.25">
      <c r="B88" s="37" t="s">
        <v>422</v>
      </c>
      <c r="C88" s="38">
        <v>41642</v>
      </c>
      <c r="D88" s="37">
        <v>12</v>
      </c>
      <c r="E88" s="37" t="s">
        <v>648</v>
      </c>
      <c r="F88" s="37">
        <v>1</v>
      </c>
    </row>
    <row r="89" spans="2:6" x14ac:dyDescent="0.25">
      <c r="B89" s="37" t="s">
        <v>373</v>
      </c>
      <c r="C89" s="38">
        <v>40191</v>
      </c>
      <c r="D89" s="37">
        <v>16</v>
      </c>
      <c r="E89" s="37" t="s">
        <v>652</v>
      </c>
      <c r="F89" s="37">
        <v>1</v>
      </c>
    </row>
    <row r="90" spans="2:6" x14ac:dyDescent="0.25">
      <c r="B90" s="37" t="s">
        <v>544</v>
      </c>
      <c r="C90" s="38">
        <v>45407</v>
      </c>
      <c r="D90" s="37">
        <v>1</v>
      </c>
      <c r="E90" s="37" t="s">
        <v>648</v>
      </c>
      <c r="F90" s="37">
        <v>1</v>
      </c>
    </row>
    <row r="91" spans="2:6" x14ac:dyDescent="0.25">
      <c r="B91" s="37" t="s">
        <v>363</v>
      </c>
      <c r="C91" s="38">
        <v>37012</v>
      </c>
      <c r="D91" s="37">
        <v>24</v>
      </c>
      <c r="E91" s="37" t="s">
        <v>650</v>
      </c>
      <c r="F91" s="37">
        <v>1</v>
      </c>
    </row>
    <row r="92" spans="2:6" x14ac:dyDescent="0.25">
      <c r="B92" s="37" t="s">
        <v>492</v>
      </c>
      <c r="C92" s="38">
        <v>38191</v>
      </c>
      <c r="D92" s="37">
        <v>21</v>
      </c>
      <c r="E92" s="37" t="s">
        <v>650</v>
      </c>
      <c r="F92" s="37">
        <v>1</v>
      </c>
    </row>
    <row r="93" spans="2:6" x14ac:dyDescent="0.25">
      <c r="B93" s="37" t="s">
        <v>282</v>
      </c>
      <c r="C93" s="38">
        <v>40003</v>
      </c>
      <c r="D93" s="37">
        <v>16</v>
      </c>
      <c r="E93" s="37" t="s">
        <v>650</v>
      </c>
      <c r="F93" s="37">
        <v>1</v>
      </c>
    </row>
    <row r="94" spans="2:6" x14ac:dyDescent="0.25">
      <c r="B94" s="37" t="s">
        <v>272</v>
      </c>
      <c r="C94" s="38">
        <v>38374</v>
      </c>
      <c r="D94" s="37">
        <v>21</v>
      </c>
      <c r="E94" s="37" t="s">
        <v>654</v>
      </c>
      <c r="F94" s="37">
        <v>1</v>
      </c>
    </row>
    <row r="95" spans="2:6" x14ac:dyDescent="0.25">
      <c r="B95" s="37" t="s">
        <v>397</v>
      </c>
      <c r="C95" s="38">
        <v>45518</v>
      </c>
      <c r="D95" s="37">
        <v>1</v>
      </c>
      <c r="E95" s="37" t="s">
        <v>648</v>
      </c>
      <c r="F95" s="37">
        <v>1</v>
      </c>
    </row>
    <row r="96" spans="2:6" x14ac:dyDescent="0.25">
      <c r="B96" s="37" t="s">
        <v>381</v>
      </c>
      <c r="C96" s="38">
        <v>41642</v>
      </c>
      <c r="D96" s="37">
        <v>12</v>
      </c>
      <c r="E96" s="37" t="s">
        <v>648</v>
      </c>
      <c r="F96" s="37">
        <v>1</v>
      </c>
    </row>
    <row r="97" spans="1:6" x14ac:dyDescent="0.25">
      <c r="B97" s="37" t="s">
        <v>393</v>
      </c>
      <c r="C97" s="38">
        <v>42230</v>
      </c>
      <c r="D97" s="37">
        <v>10</v>
      </c>
      <c r="E97" s="37" t="s">
        <v>650</v>
      </c>
      <c r="F97" s="37">
        <v>1</v>
      </c>
    </row>
    <row r="98" spans="1:6" x14ac:dyDescent="0.25">
      <c r="A98" s="37" t="s">
        <v>669</v>
      </c>
      <c r="F98" s="37">
        <v>94</v>
      </c>
    </row>
    <row r="99" spans="1:6" x14ac:dyDescent="0.25">
      <c r="A99" s="37" t="s">
        <v>670</v>
      </c>
      <c r="B99" s="37" t="s">
        <v>441</v>
      </c>
      <c r="C99" s="38">
        <v>29418</v>
      </c>
      <c r="D99" s="37">
        <v>45</v>
      </c>
      <c r="E99" s="37" t="s">
        <v>652</v>
      </c>
      <c r="F99" s="37">
        <v>1</v>
      </c>
    </row>
    <row r="100" spans="1:6" x14ac:dyDescent="0.25">
      <c r="B100" s="37" t="s">
        <v>476</v>
      </c>
      <c r="C100" s="38">
        <v>33147</v>
      </c>
      <c r="D100" s="37">
        <v>35</v>
      </c>
      <c r="E100" s="37" t="s">
        <v>650</v>
      </c>
      <c r="F100" s="37">
        <v>1</v>
      </c>
    </row>
    <row r="101" spans="1:6" ht="30" x14ac:dyDescent="0.25">
      <c r="B101" s="37" t="s">
        <v>454</v>
      </c>
      <c r="C101" s="38">
        <v>31240</v>
      </c>
      <c r="D101" s="37">
        <v>40</v>
      </c>
      <c r="E101" s="37" t="s">
        <v>650</v>
      </c>
      <c r="F101" s="37">
        <v>1</v>
      </c>
    </row>
    <row r="102" spans="1:6" x14ac:dyDescent="0.25">
      <c r="B102" s="37" t="s">
        <v>340</v>
      </c>
      <c r="C102" s="38">
        <v>29846</v>
      </c>
      <c r="D102" s="37">
        <v>44</v>
      </c>
      <c r="E102" s="37" t="s">
        <v>650</v>
      </c>
      <c r="F102" s="37">
        <v>1</v>
      </c>
    </row>
    <row r="103" spans="1:6" x14ac:dyDescent="0.25">
      <c r="B103" s="37" t="s">
        <v>472</v>
      </c>
      <c r="C103" s="38">
        <v>32578</v>
      </c>
      <c r="D103" s="37">
        <v>37</v>
      </c>
      <c r="E103" s="37" t="s">
        <v>650</v>
      </c>
      <c r="F103" s="37">
        <v>1</v>
      </c>
    </row>
    <row r="104" spans="1:6" x14ac:dyDescent="0.25">
      <c r="B104" s="37" t="s">
        <v>585</v>
      </c>
      <c r="C104" s="38">
        <v>36612</v>
      </c>
      <c r="D104" s="37">
        <v>26</v>
      </c>
      <c r="E104" s="37" t="s">
        <v>650</v>
      </c>
      <c r="F104" s="37">
        <v>1</v>
      </c>
    </row>
    <row r="105" spans="1:6" x14ac:dyDescent="0.25">
      <c r="B105" s="37" t="s">
        <v>561</v>
      </c>
      <c r="C105" s="38">
        <v>28749</v>
      </c>
      <c r="D105" s="37">
        <v>47</v>
      </c>
      <c r="E105" s="37" t="s">
        <v>652</v>
      </c>
      <c r="F105" s="37">
        <v>1</v>
      </c>
    </row>
    <row r="106" spans="1:6" x14ac:dyDescent="0.25">
      <c r="B106" s="37" t="s">
        <v>257</v>
      </c>
      <c r="C106" s="38">
        <v>31505</v>
      </c>
      <c r="D106" s="37">
        <v>39</v>
      </c>
      <c r="E106" s="37" t="s">
        <v>648</v>
      </c>
      <c r="F106" s="37">
        <v>1</v>
      </c>
    </row>
    <row r="107" spans="1:6" ht="45" x14ac:dyDescent="0.25">
      <c r="B107" s="37" t="s">
        <v>255</v>
      </c>
      <c r="C107" s="38">
        <v>31402</v>
      </c>
      <c r="D107" s="37">
        <v>40</v>
      </c>
      <c r="E107" s="37" t="s">
        <v>652</v>
      </c>
      <c r="F107" s="37">
        <v>1</v>
      </c>
    </row>
    <row r="108" spans="1:6" x14ac:dyDescent="0.25">
      <c r="B108" s="37" t="s">
        <v>468</v>
      </c>
      <c r="C108" s="38">
        <v>32365</v>
      </c>
      <c r="D108" s="37">
        <v>37</v>
      </c>
      <c r="E108" s="37" t="s">
        <v>650</v>
      </c>
      <c r="F108" s="37">
        <v>1</v>
      </c>
    </row>
    <row r="109" spans="1:6" x14ac:dyDescent="0.25">
      <c r="B109" s="37" t="s">
        <v>587</v>
      </c>
      <c r="C109" s="38">
        <v>36612</v>
      </c>
      <c r="D109" s="37">
        <v>26</v>
      </c>
      <c r="E109" s="37" t="s">
        <v>652</v>
      </c>
      <c r="F109" s="37">
        <v>1</v>
      </c>
    </row>
    <row r="110" spans="1:6" x14ac:dyDescent="0.25">
      <c r="B110" s="37" t="s">
        <v>464</v>
      </c>
      <c r="C110" s="38">
        <v>32142</v>
      </c>
      <c r="D110" s="37">
        <v>38</v>
      </c>
      <c r="E110" s="37" t="s">
        <v>652</v>
      </c>
      <c r="F110" s="37">
        <v>1</v>
      </c>
    </row>
    <row r="111" spans="1:6" x14ac:dyDescent="0.25">
      <c r="B111" s="37" t="s">
        <v>445</v>
      </c>
      <c r="C111" s="38">
        <v>29571</v>
      </c>
      <c r="D111" s="37">
        <v>45</v>
      </c>
      <c r="E111" s="37" t="s">
        <v>652</v>
      </c>
      <c r="F111" s="37">
        <v>1</v>
      </c>
    </row>
    <row r="112" spans="1:6" x14ac:dyDescent="0.25">
      <c r="B112" s="37" t="s">
        <v>408</v>
      </c>
      <c r="C112" s="38">
        <v>29114</v>
      </c>
      <c r="D112" s="37">
        <v>46</v>
      </c>
      <c r="E112" s="37" t="s">
        <v>652</v>
      </c>
      <c r="F112" s="37">
        <v>1</v>
      </c>
    </row>
    <row r="113" spans="2:6" x14ac:dyDescent="0.25">
      <c r="B113" s="37" t="s">
        <v>343</v>
      </c>
      <c r="C113" s="38">
        <v>30015</v>
      </c>
      <c r="D113" s="37">
        <v>44</v>
      </c>
      <c r="E113" s="37" t="s">
        <v>652</v>
      </c>
      <c r="F113" s="37">
        <v>1</v>
      </c>
    </row>
    <row r="114" spans="2:6" x14ac:dyDescent="0.25">
      <c r="B114" s="37" t="s">
        <v>410</v>
      </c>
      <c r="C114" s="38">
        <v>32862</v>
      </c>
      <c r="D114" s="37">
        <v>36</v>
      </c>
      <c r="E114" s="37" t="s">
        <v>648</v>
      </c>
      <c r="F114" s="37">
        <v>1</v>
      </c>
    </row>
    <row r="115" spans="2:6" x14ac:dyDescent="0.25">
      <c r="B115" s="37" t="s">
        <v>466</v>
      </c>
      <c r="C115" s="38">
        <v>32263</v>
      </c>
      <c r="D115" s="37">
        <v>37</v>
      </c>
      <c r="E115" s="37" t="s">
        <v>652</v>
      </c>
      <c r="F115" s="37">
        <v>1</v>
      </c>
    </row>
    <row r="116" spans="2:6" x14ac:dyDescent="0.25">
      <c r="B116" s="37" t="s">
        <v>474</v>
      </c>
      <c r="C116" s="38">
        <v>32862</v>
      </c>
      <c r="D116" s="37">
        <v>36</v>
      </c>
      <c r="E116" s="37" t="s">
        <v>650</v>
      </c>
      <c r="F116" s="37">
        <v>1</v>
      </c>
    </row>
    <row r="117" spans="2:6" x14ac:dyDescent="0.25">
      <c r="B117" s="37" t="s">
        <v>412</v>
      </c>
      <c r="C117" s="38">
        <v>32940</v>
      </c>
      <c r="D117" s="37">
        <v>36</v>
      </c>
      <c r="E117" s="37" t="s">
        <v>648</v>
      </c>
      <c r="F117" s="37">
        <v>1</v>
      </c>
    </row>
    <row r="118" spans="2:6" x14ac:dyDescent="0.25">
      <c r="B118" s="37" t="s">
        <v>347</v>
      </c>
      <c r="C118" s="38">
        <v>31306</v>
      </c>
      <c r="D118" s="37">
        <v>40</v>
      </c>
      <c r="E118" s="37" t="s">
        <v>648</v>
      </c>
      <c r="F118" s="37">
        <v>1</v>
      </c>
    </row>
    <row r="119" spans="2:6" x14ac:dyDescent="0.25">
      <c r="B119" s="37" t="s">
        <v>563</v>
      </c>
      <c r="C119" s="38">
        <v>29313</v>
      </c>
      <c r="D119" s="37">
        <v>45</v>
      </c>
      <c r="E119" s="37" t="s">
        <v>654</v>
      </c>
      <c r="F119" s="37">
        <v>1</v>
      </c>
    </row>
    <row r="120" spans="2:6" x14ac:dyDescent="0.25">
      <c r="B120" s="37" t="s">
        <v>341</v>
      </c>
      <c r="C120" s="38">
        <v>29943</v>
      </c>
      <c r="D120" s="37">
        <v>44</v>
      </c>
      <c r="E120" s="37" t="s">
        <v>652</v>
      </c>
      <c r="F120" s="37">
        <v>1</v>
      </c>
    </row>
    <row r="121" spans="2:6" x14ac:dyDescent="0.25">
      <c r="B121" s="37" t="s">
        <v>579</v>
      </c>
      <c r="C121" s="38">
        <v>36219</v>
      </c>
      <c r="D121" s="37">
        <v>27</v>
      </c>
      <c r="E121" s="37" t="s">
        <v>656</v>
      </c>
      <c r="F121" s="37">
        <v>1</v>
      </c>
    </row>
    <row r="122" spans="2:6" x14ac:dyDescent="0.25">
      <c r="B122" s="37" t="s">
        <v>406</v>
      </c>
      <c r="C122" s="38">
        <v>28384</v>
      </c>
      <c r="D122" s="37">
        <v>48</v>
      </c>
      <c r="E122" s="37" t="s">
        <v>652</v>
      </c>
      <c r="F122" s="37">
        <v>1</v>
      </c>
    </row>
    <row r="123" spans="2:6" x14ac:dyDescent="0.25">
      <c r="B123" s="37" t="s">
        <v>462</v>
      </c>
      <c r="C123" s="38">
        <v>32037</v>
      </c>
      <c r="D123" s="37">
        <v>38</v>
      </c>
      <c r="E123" s="37" t="s">
        <v>650</v>
      </c>
      <c r="F123" s="37">
        <v>1</v>
      </c>
    </row>
    <row r="124" spans="2:6" ht="30" x14ac:dyDescent="0.25">
      <c r="B124" s="37" t="s">
        <v>572</v>
      </c>
      <c r="C124" s="38">
        <v>32365</v>
      </c>
      <c r="D124" s="37">
        <v>37</v>
      </c>
      <c r="E124" s="37" t="s">
        <v>650</v>
      </c>
      <c r="F124" s="37">
        <v>1</v>
      </c>
    </row>
    <row r="125" spans="2:6" x14ac:dyDescent="0.25">
      <c r="B125" s="37" t="s">
        <v>575</v>
      </c>
      <c r="C125" s="38">
        <v>32365</v>
      </c>
      <c r="D125" s="37">
        <v>37</v>
      </c>
      <c r="E125" s="37" t="s">
        <v>652</v>
      </c>
      <c r="F125" s="37">
        <v>1</v>
      </c>
    </row>
    <row r="126" spans="2:6" x14ac:dyDescent="0.25">
      <c r="B126" s="37" t="s">
        <v>349</v>
      </c>
      <c r="C126" s="38">
        <v>31306</v>
      </c>
      <c r="D126" s="37">
        <v>40</v>
      </c>
      <c r="E126" s="37" t="s">
        <v>648</v>
      </c>
      <c r="F126" s="37">
        <v>1</v>
      </c>
    </row>
    <row r="127" spans="2:6" x14ac:dyDescent="0.25">
      <c r="B127" s="37" t="s">
        <v>565</v>
      </c>
      <c r="C127" s="38">
        <v>29943</v>
      </c>
      <c r="D127" s="37">
        <v>44</v>
      </c>
      <c r="E127" s="37" t="s">
        <v>652</v>
      </c>
      <c r="F127" s="37">
        <v>1</v>
      </c>
    </row>
    <row r="128" spans="2:6" x14ac:dyDescent="0.25">
      <c r="B128" s="37" t="s">
        <v>259</v>
      </c>
      <c r="C128" s="38">
        <v>31897</v>
      </c>
      <c r="D128" s="37">
        <v>38</v>
      </c>
      <c r="E128" s="37" t="s">
        <v>650</v>
      </c>
      <c r="F128" s="37">
        <v>1</v>
      </c>
    </row>
    <row r="129" spans="2:6" x14ac:dyDescent="0.25">
      <c r="B129" s="37" t="s">
        <v>569</v>
      </c>
      <c r="C129" s="38">
        <v>31976</v>
      </c>
      <c r="D129" s="37">
        <v>38</v>
      </c>
      <c r="E129" s="37" t="s">
        <v>650</v>
      </c>
      <c r="F129" s="37">
        <v>1</v>
      </c>
    </row>
    <row r="130" spans="2:6" x14ac:dyDescent="0.25">
      <c r="B130" s="37" t="s">
        <v>439</v>
      </c>
      <c r="C130" s="38">
        <v>28019</v>
      </c>
      <c r="D130" s="37">
        <v>49</v>
      </c>
      <c r="E130" s="37" t="s">
        <v>654</v>
      </c>
      <c r="F130" s="37">
        <v>1</v>
      </c>
    </row>
    <row r="131" spans="2:6" x14ac:dyDescent="0.25">
      <c r="B131" s="37" t="s">
        <v>249</v>
      </c>
      <c r="C131" s="38">
        <v>29788</v>
      </c>
      <c r="D131" s="37">
        <v>44</v>
      </c>
      <c r="E131" s="37" t="s">
        <v>650</v>
      </c>
      <c r="F131" s="37">
        <v>1</v>
      </c>
    </row>
    <row r="132" spans="2:6" x14ac:dyDescent="0.25">
      <c r="B132" s="37" t="s">
        <v>456</v>
      </c>
      <c r="C132" s="38">
        <v>31306</v>
      </c>
      <c r="D132" s="37">
        <v>40</v>
      </c>
      <c r="E132" s="37" t="s">
        <v>652</v>
      </c>
      <c r="F132" s="37">
        <v>1</v>
      </c>
    </row>
    <row r="133" spans="2:6" x14ac:dyDescent="0.25">
      <c r="B133" s="37" t="s">
        <v>336</v>
      </c>
      <c r="C133" s="38">
        <v>29705</v>
      </c>
      <c r="D133" s="37">
        <v>44</v>
      </c>
      <c r="E133" s="37" t="s">
        <v>650</v>
      </c>
      <c r="F133" s="37">
        <v>1</v>
      </c>
    </row>
    <row r="134" spans="2:6" x14ac:dyDescent="0.25">
      <c r="B134" s="37" t="s">
        <v>332</v>
      </c>
      <c r="C134" s="38">
        <v>29313</v>
      </c>
      <c r="D134" s="37">
        <v>45</v>
      </c>
      <c r="E134" s="37" t="s">
        <v>648</v>
      </c>
      <c r="F134" s="37">
        <v>1</v>
      </c>
    </row>
    <row r="135" spans="2:6" x14ac:dyDescent="0.25">
      <c r="B135" s="37" t="s">
        <v>443</v>
      </c>
      <c r="C135" s="38">
        <v>29418</v>
      </c>
      <c r="D135" s="37">
        <v>45</v>
      </c>
      <c r="E135" s="37" t="s">
        <v>654</v>
      </c>
      <c r="F135" s="37">
        <v>1</v>
      </c>
    </row>
    <row r="136" spans="2:6" x14ac:dyDescent="0.25">
      <c r="B136" s="37" t="s">
        <v>480</v>
      </c>
      <c r="C136" s="38">
        <v>35947</v>
      </c>
      <c r="D136" s="37">
        <v>27</v>
      </c>
      <c r="E136" s="37" t="s">
        <v>650</v>
      </c>
      <c r="F136" s="37">
        <v>1</v>
      </c>
    </row>
    <row r="137" spans="2:6" x14ac:dyDescent="0.25">
      <c r="B137" s="37" t="s">
        <v>458</v>
      </c>
      <c r="C137" s="38">
        <v>31402</v>
      </c>
      <c r="D137" s="37">
        <v>40</v>
      </c>
      <c r="E137" s="37" t="s">
        <v>652</v>
      </c>
      <c r="F137" s="37">
        <v>1</v>
      </c>
    </row>
    <row r="138" spans="2:6" x14ac:dyDescent="0.25">
      <c r="B138" s="37" t="s">
        <v>482</v>
      </c>
      <c r="C138" s="38">
        <v>36094</v>
      </c>
      <c r="D138" s="37">
        <v>27</v>
      </c>
      <c r="E138" s="37" t="s">
        <v>650</v>
      </c>
      <c r="F138" s="37">
        <v>1</v>
      </c>
    </row>
    <row r="139" spans="2:6" x14ac:dyDescent="0.25">
      <c r="B139" s="37" t="s">
        <v>484</v>
      </c>
      <c r="C139" s="38">
        <v>36612</v>
      </c>
      <c r="D139" s="37">
        <v>26</v>
      </c>
      <c r="E139" s="37" t="s">
        <v>650</v>
      </c>
      <c r="F139" s="37">
        <v>1</v>
      </c>
    </row>
    <row r="140" spans="2:6" x14ac:dyDescent="0.25">
      <c r="B140" s="37" t="s">
        <v>345</v>
      </c>
      <c r="C140" s="38">
        <v>30156</v>
      </c>
      <c r="D140" s="37">
        <v>43</v>
      </c>
      <c r="E140" s="37" t="s">
        <v>650</v>
      </c>
      <c r="F140" s="37">
        <v>1</v>
      </c>
    </row>
    <row r="141" spans="2:6" x14ac:dyDescent="0.25">
      <c r="B141" s="37" t="s">
        <v>247</v>
      </c>
      <c r="C141" s="38">
        <v>28601</v>
      </c>
      <c r="D141" s="37">
        <v>47</v>
      </c>
      <c r="E141" s="37" t="s">
        <v>654</v>
      </c>
      <c r="F141" s="37">
        <v>1</v>
      </c>
    </row>
    <row r="142" spans="2:6" x14ac:dyDescent="0.25">
      <c r="B142" s="37" t="s">
        <v>251</v>
      </c>
      <c r="C142" s="38">
        <v>29788</v>
      </c>
      <c r="D142" s="37">
        <v>44</v>
      </c>
      <c r="E142" s="37" t="s">
        <v>652</v>
      </c>
      <c r="F142" s="37">
        <v>1</v>
      </c>
    </row>
    <row r="143" spans="2:6" ht="30" x14ac:dyDescent="0.25">
      <c r="B143" s="37" t="s">
        <v>478</v>
      </c>
      <c r="C143" s="38">
        <v>33256</v>
      </c>
      <c r="D143" s="37">
        <v>35</v>
      </c>
      <c r="E143" s="37" t="s">
        <v>654</v>
      </c>
      <c r="F143" s="37">
        <v>1</v>
      </c>
    </row>
    <row r="144" spans="2:6" x14ac:dyDescent="0.25">
      <c r="B144" s="37" t="s">
        <v>357</v>
      </c>
      <c r="C144" s="38">
        <v>32142</v>
      </c>
      <c r="D144" s="37">
        <v>38</v>
      </c>
      <c r="E144" s="37" t="s">
        <v>650</v>
      </c>
      <c r="F144" s="37">
        <v>1</v>
      </c>
    </row>
    <row r="145" spans="2:6" x14ac:dyDescent="0.25">
      <c r="B145" s="37" t="s">
        <v>581</v>
      </c>
      <c r="C145" s="38">
        <v>36219</v>
      </c>
      <c r="D145" s="37">
        <v>27</v>
      </c>
      <c r="E145" s="37" t="s">
        <v>650</v>
      </c>
      <c r="F145" s="37">
        <v>1</v>
      </c>
    </row>
    <row r="146" spans="2:6" x14ac:dyDescent="0.25">
      <c r="B146" s="37" t="s">
        <v>583</v>
      </c>
      <c r="C146" s="38">
        <v>36261</v>
      </c>
      <c r="D146" s="37">
        <v>26</v>
      </c>
      <c r="E146" s="37" t="s">
        <v>650</v>
      </c>
      <c r="F146" s="37">
        <v>1</v>
      </c>
    </row>
    <row r="147" spans="2:6" x14ac:dyDescent="0.25">
      <c r="B147" s="37" t="s">
        <v>450</v>
      </c>
      <c r="C147" s="38">
        <v>30207</v>
      </c>
      <c r="D147" s="37">
        <v>43</v>
      </c>
      <c r="E147" s="37" t="s">
        <v>652</v>
      </c>
      <c r="F147" s="37">
        <v>1</v>
      </c>
    </row>
    <row r="148" spans="2:6" ht="30" x14ac:dyDescent="0.25">
      <c r="B148" s="37" t="s">
        <v>351</v>
      </c>
      <c r="C148" s="38">
        <v>31505</v>
      </c>
      <c r="D148" s="37">
        <v>39</v>
      </c>
      <c r="E148" s="37" t="s">
        <v>648</v>
      </c>
      <c r="F148" s="37">
        <v>1</v>
      </c>
    </row>
    <row r="149" spans="2:6" x14ac:dyDescent="0.25">
      <c r="B149" s="37" t="s">
        <v>353</v>
      </c>
      <c r="C149" s="38">
        <v>31976</v>
      </c>
      <c r="D149" s="37">
        <v>38</v>
      </c>
      <c r="E149" s="37" t="s">
        <v>648</v>
      </c>
      <c r="F149" s="37">
        <v>1</v>
      </c>
    </row>
    <row r="150" spans="2:6" x14ac:dyDescent="0.25">
      <c r="B150" s="37" t="s">
        <v>447</v>
      </c>
      <c r="C150" s="38">
        <v>29684</v>
      </c>
      <c r="D150" s="37">
        <v>44</v>
      </c>
      <c r="E150" s="37" t="s">
        <v>652</v>
      </c>
      <c r="F150" s="37">
        <v>1</v>
      </c>
    </row>
    <row r="151" spans="2:6" x14ac:dyDescent="0.25">
      <c r="B151" s="37" t="s">
        <v>245</v>
      </c>
      <c r="C151" s="38">
        <v>28483</v>
      </c>
      <c r="D151" s="37">
        <v>48</v>
      </c>
      <c r="E151" s="37" t="s">
        <v>654</v>
      </c>
      <c r="F151" s="37">
        <v>1</v>
      </c>
    </row>
    <row r="152" spans="2:6" x14ac:dyDescent="0.25">
      <c r="B152" s="37" t="s">
        <v>460</v>
      </c>
      <c r="C152" s="38">
        <v>31822</v>
      </c>
      <c r="D152" s="37">
        <v>39</v>
      </c>
      <c r="E152" s="37" t="s">
        <v>652</v>
      </c>
      <c r="F152" s="37">
        <v>1</v>
      </c>
    </row>
    <row r="153" spans="2:6" x14ac:dyDescent="0.25">
      <c r="B153" s="37" t="s">
        <v>577</v>
      </c>
      <c r="C153" s="38">
        <v>35947</v>
      </c>
      <c r="D153" s="37">
        <v>27</v>
      </c>
      <c r="E153" s="37" t="s">
        <v>650</v>
      </c>
      <c r="F153" s="37">
        <v>1</v>
      </c>
    </row>
    <row r="154" spans="2:6" x14ac:dyDescent="0.25">
      <c r="B154" s="37" t="s">
        <v>416</v>
      </c>
      <c r="C154" s="38">
        <v>36144</v>
      </c>
      <c r="D154" s="37">
        <v>27</v>
      </c>
      <c r="E154" s="37" t="s">
        <v>648</v>
      </c>
      <c r="F154" s="37">
        <v>1</v>
      </c>
    </row>
    <row r="155" spans="2:6" x14ac:dyDescent="0.25">
      <c r="B155" s="37" t="s">
        <v>486</v>
      </c>
      <c r="C155" s="38">
        <v>36612</v>
      </c>
      <c r="D155" s="37">
        <v>26</v>
      </c>
      <c r="E155" s="37" t="s">
        <v>648</v>
      </c>
      <c r="F155" s="37">
        <v>1</v>
      </c>
    </row>
    <row r="156" spans="2:6" x14ac:dyDescent="0.25">
      <c r="B156" s="37" t="s">
        <v>261</v>
      </c>
      <c r="C156" s="38">
        <v>31897</v>
      </c>
      <c r="D156" s="37">
        <v>38</v>
      </c>
      <c r="E156" s="37" t="s">
        <v>648</v>
      </c>
      <c r="F156" s="37">
        <v>1</v>
      </c>
    </row>
    <row r="157" spans="2:6" x14ac:dyDescent="0.25">
      <c r="B157" s="37" t="s">
        <v>414</v>
      </c>
      <c r="C157" s="38">
        <v>33147</v>
      </c>
      <c r="D157" s="37">
        <v>35</v>
      </c>
      <c r="E157" s="37" t="s">
        <v>650</v>
      </c>
      <c r="F157" s="37">
        <v>1</v>
      </c>
    </row>
    <row r="158" spans="2:6" x14ac:dyDescent="0.25">
      <c r="B158" s="37" t="s">
        <v>253</v>
      </c>
      <c r="C158" s="38">
        <v>31240</v>
      </c>
      <c r="D158" s="37">
        <v>40</v>
      </c>
      <c r="E158" s="37" t="s">
        <v>648</v>
      </c>
      <c r="F158" s="37">
        <v>1</v>
      </c>
    </row>
    <row r="159" spans="2:6" x14ac:dyDescent="0.25">
      <c r="B159" s="37" t="s">
        <v>334</v>
      </c>
      <c r="C159" s="38">
        <v>29479</v>
      </c>
      <c r="D159" s="37">
        <v>45</v>
      </c>
      <c r="E159" s="37" t="s">
        <v>648</v>
      </c>
      <c r="F159" s="37">
        <v>1</v>
      </c>
    </row>
    <row r="160" spans="2:6" x14ac:dyDescent="0.25">
      <c r="B160" s="37" t="s">
        <v>359</v>
      </c>
      <c r="C160" s="38">
        <v>32662</v>
      </c>
      <c r="D160" s="37">
        <v>36</v>
      </c>
      <c r="E160" s="37" t="s">
        <v>650</v>
      </c>
      <c r="F160" s="37">
        <v>1</v>
      </c>
    </row>
    <row r="161" spans="1:6" x14ac:dyDescent="0.25">
      <c r="B161" s="37" t="s">
        <v>338</v>
      </c>
      <c r="C161" s="38">
        <v>29705</v>
      </c>
      <c r="D161" s="37">
        <v>44</v>
      </c>
      <c r="E161" s="37" t="s">
        <v>652</v>
      </c>
      <c r="F161" s="37">
        <v>1</v>
      </c>
    </row>
    <row r="162" spans="1:6" ht="30" x14ac:dyDescent="0.25">
      <c r="B162" s="37" t="s">
        <v>361</v>
      </c>
      <c r="C162" s="38">
        <v>33147</v>
      </c>
      <c r="D162" s="37">
        <v>35</v>
      </c>
      <c r="E162" s="37" t="s">
        <v>648</v>
      </c>
      <c r="F162" s="37">
        <v>1</v>
      </c>
    </row>
    <row r="163" spans="1:6" x14ac:dyDescent="0.25">
      <c r="B163" s="37" t="s">
        <v>452</v>
      </c>
      <c r="C163" s="38">
        <v>30701</v>
      </c>
      <c r="D163" s="37">
        <v>42</v>
      </c>
      <c r="E163" s="37" t="s">
        <v>652</v>
      </c>
      <c r="F163" s="37">
        <v>1</v>
      </c>
    </row>
    <row r="164" spans="1:6" x14ac:dyDescent="0.25">
      <c r="B164" s="37" t="s">
        <v>470</v>
      </c>
      <c r="C164" s="38">
        <v>32494</v>
      </c>
      <c r="D164" s="37">
        <v>37</v>
      </c>
      <c r="E164" s="37" t="s">
        <v>650</v>
      </c>
      <c r="F164" s="37">
        <v>1</v>
      </c>
    </row>
    <row r="165" spans="1:6" x14ac:dyDescent="0.25">
      <c r="B165" s="37" t="s">
        <v>355</v>
      </c>
      <c r="C165" s="38">
        <v>32002</v>
      </c>
      <c r="D165" s="37">
        <v>38</v>
      </c>
      <c r="E165" s="37" t="s">
        <v>648</v>
      </c>
      <c r="F165" s="37">
        <v>1</v>
      </c>
    </row>
    <row r="166" spans="1:6" x14ac:dyDescent="0.25">
      <c r="B166" s="37" t="s">
        <v>330</v>
      </c>
      <c r="C166" s="38">
        <v>28238</v>
      </c>
      <c r="D166" s="37">
        <v>48</v>
      </c>
      <c r="E166" s="37" t="s">
        <v>652</v>
      </c>
      <c r="F166" s="37">
        <v>1</v>
      </c>
    </row>
    <row r="167" spans="1:6" x14ac:dyDescent="0.25">
      <c r="B167" s="37" t="s">
        <v>567</v>
      </c>
      <c r="C167" s="38">
        <v>31897</v>
      </c>
      <c r="D167" s="37">
        <v>38</v>
      </c>
      <c r="E167" s="37" t="s">
        <v>648</v>
      </c>
      <c r="F167" s="37">
        <v>1</v>
      </c>
    </row>
    <row r="168" spans="1:6" x14ac:dyDescent="0.25">
      <c r="A168" s="37" t="s">
        <v>671</v>
      </c>
      <c r="F168" s="37">
        <v>69</v>
      </c>
    </row>
    <row r="169" spans="1:6" x14ac:dyDescent="0.25">
      <c r="A169" s="37" t="s">
        <v>672</v>
      </c>
      <c r="B169" s="37" t="s">
        <v>233</v>
      </c>
      <c r="C169" s="38">
        <v>22737</v>
      </c>
      <c r="D169" s="37">
        <v>64</v>
      </c>
      <c r="E169" s="37" t="s">
        <v>656</v>
      </c>
      <c r="F169" s="37">
        <v>1</v>
      </c>
    </row>
    <row r="170" spans="1:6" x14ac:dyDescent="0.25">
      <c r="B170" s="37" t="s">
        <v>404</v>
      </c>
      <c r="C170" s="38">
        <v>27282</v>
      </c>
      <c r="D170" s="37">
        <v>51</v>
      </c>
      <c r="E170" s="37" t="s">
        <v>648</v>
      </c>
      <c r="F170" s="37">
        <v>1</v>
      </c>
    </row>
    <row r="171" spans="1:6" ht="30" x14ac:dyDescent="0.25">
      <c r="B171" s="37" t="s">
        <v>314</v>
      </c>
      <c r="C171" s="38">
        <v>22737</v>
      </c>
      <c r="D171" s="37">
        <v>64</v>
      </c>
      <c r="E171" s="37" t="s">
        <v>656</v>
      </c>
      <c r="F171" s="37">
        <v>1</v>
      </c>
    </row>
    <row r="172" spans="1:6" x14ac:dyDescent="0.25">
      <c r="B172" s="37" t="s">
        <v>238</v>
      </c>
      <c r="C172" s="38">
        <v>24781</v>
      </c>
      <c r="D172" s="37">
        <v>58</v>
      </c>
      <c r="E172" s="37" t="s">
        <v>654</v>
      </c>
      <c r="F172" s="37">
        <v>1</v>
      </c>
    </row>
    <row r="173" spans="1:6" x14ac:dyDescent="0.25">
      <c r="B173" s="37" t="s">
        <v>328</v>
      </c>
      <c r="C173" s="38">
        <v>27190</v>
      </c>
      <c r="D173" s="37">
        <v>51</v>
      </c>
      <c r="E173" s="37" t="s">
        <v>648</v>
      </c>
      <c r="F173" s="37">
        <v>1</v>
      </c>
    </row>
    <row r="174" spans="1:6" x14ac:dyDescent="0.25">
      <c r="B174" s="37" t="s">
        <v>557</v>
      </c>
      <c r="C174" s="38">
        <v>26999</v>
      </c>
      <c r="D174" s="37">
        <v>52</v>
      </c>
      <c r="E174" s="37" t="s">
        <v>654</v>
      </c>
      <c r="F174" s="37">
        <v>1</v>
      </c>
    </row>
    <row r="175" spans="1:6" x14ac:dyDescent="0.25">
      <c r="B175" s="37" t="s">
        <v>315</v>
      </c>
      <c r="C175" s="38">
        <v>22737</v>
      </c>
      <c r="D175" s="37">
        <v>64</v>
      </c>
      <c r="E175" s="37" t="s">
        <v>652</v>
      </c>
      <c r="F175" s="37">
        <v>1</v>
      </c>
    </row>
    <row r="176" spans="1:6" x14ac:dyDescent="0.25">
      <c r="B176" s="37" t="s">
        <v>319</v>
      </c>
      <c r="C176" s="38">
        <v>24807</v>
      </c>
      <c r="D176" s="37">
        <v>58</v>
      </c>
      <c r="E176" s="37" t="s">
        <v>654</v>
      </c>
      <c r="F176" s="37">
        <v>1</v>
      </c>
    </row>
    <row r="177" spans="1:6" x14ac:dyDescent="0.25">
      <c r="B177" s="37" t="s">
        <v>437</v>
      </c>
      <c r="C177" s="38">
        <v>27583</v>
      </c>
      <c r="D177" s="37">
        <v>50</v>
      </c>
      <c r="E177" s="37" t="s">
        <v>654</v>
      </c>
      <c r="F177" s="37">
        <v>1</v>
      </c>
    </row>
    <row r="178" spans="1:6" x14ac:dyDescent="0.25">
      <c r="B178" s="37" t="s">
        <v>243</v>
      </c>
      <c r="C178" s="38">
        <v>27164</v>
      </c>
      <c r="D178" s="37">
        <v>51</v>
      </c>
      <c r="E178" s="37" t="s">
        <v>650</v>
      </c>
      <c r="F178" s="37">
        <v>1</v>
      </c>
    </row>
    <row r="179" spans="1:6" x14ac:dyDescent="0.25">
      <c r="B179" s="37" t="s">
        <v>316</v>
      </c>
      <c r="C179" s="38">
        <v>22737</v>
      </c>
      <c r="D179" s="37">
        <v>64</v>
      </c>
      <c r="E179" s="37" t="s">
        <v>656</v>
      </c>
      <c r="F179" s="37">
        <v>1</v>
      </c>
    </row>
    <row r="180" spans="1:6" x14ac:dyDescent="0.25">
      <c r="B180" s="37" t="s">
        <v>433</v>
      </c>
      <c r="C180" s="38">
        <v>26163</v>
      </c>
      <c r="D180" s="37">
        <v>54</v>
      </c>
      <c r="E180" s="37" t="s">
        <v>656</v>
      </c>
      <c r="F180" s="37">
        <v>1</v>
      </c>
    </row>
    <row r="181" spans="1:6" x14ac:dyDescent="0.25">
      <c r="B181" s="37" t="s">
        <v>431</v>
      </c>
      <c r="C181" s="38">
        <v>25659</v>
      </c>
      <c r="D181" s="37">
        <v>56</v>
      </c>
      <c r="E181" s="37" t="s">
        <v>656</v>
      </c>
      <c r="F181" s="37">
        <v>1</v>
      </c>
    </row>
    <row r="182" spans="1:6" x14ac:dyDescent="0.25">
      <c r="B182" s="37" t="s">
        <v>435</v>
      </c>
      <c r="C182" s="38">
        <v>26163</v>
      </c>
      <c r="D182" s="37">
        <v>54</v>
      </c>
      <c r="E182" s="37" t="s">
        <v>650</v>
      </c>
      <c r="F182" s="37">
        <v>1</v>
      </c>
    </row>
    <row r="183" spans="1:6" x14ac:dyDescent="0.25">
      <c r="B183" s="37" t="s">
        <v>559</v>
      </c>
      <c r="C183" s="38">
        <v>27282</v>
      </c>
      <c r="D183" s="37">
        <v>51</v>
      </c>
      <c r="E183" s="37" t="s">
        <v>654</v>
      </c>
      <c r="F183" s="37">
        <v>1</v>
      </c>
    </row>
    <row r="184" spans="1:6" x14ac:dyDescent="0.25">
      <c r="B184" s="37" t="s">
        <v>318</v>
      </c>
      <c r="C184" s="38">
        <v>22737</v>
      </c>
      <c r="D184" s="37">
        <v>64</v>
      </c>
      <c r="E184" s="37" t="s">
        <v>650</v>
      </c>
      <c r="F184" s="37">
        <v>1</v>
      </c>
    </row>
    <row r="185" spans="1:6" ht="30" x14ac:dyDescent="0.25">
      <c r="B185" s="37" t="s">
        <v>321</v>
      </c>
      <c r="C185" s="38">
        <v>26163</v>
      </c>
      <c r="D185" s="37">
        <v>54</v>
      </c>
      <c r="E185" s="37" t="s">
        <v>652</v>
      </c>
      <c r="F185" s="37">
        <v>1</v>
      </c>
    </row>
    <row r="186" spans="1:6" x14ac:dyDescent="0.25">
      <c r="B186" s="37" t="s">
        <v>236</v>
      </c>
      <c r="C186" s="38">
        <v>22737</v>
      </c>
      <c r="D186" s="37">
        <v>64</v>
      </c>
      <c r="E186" s="37" t="s">
        <v>656</v>
      </c>
      <c r="F186" s="37">
        <v>1</v>
      </c>
    </row>
    <row r="187" spans="1:6" x14ac:dyDescent="0.25">
      <c r="B187" s="37" t="s">
        <v>322</v>
      </c>
      <c r="C187" s="38">
        <v>26163</v>
      </c>
      <c r="D187" s="37">
        <v>54</v>
      </c>
      <c r="E187" s="37" t="s">
        <v>650</v>
      </c>
      <c r="F187" s="37">
        <v>1</v>
      </c>
    </row>
    <row r="188" spans="1:6" x14ac:dyDescent="0.25">
      <c r="B188" s="37" t="s">
        <v>241</v>
      </c>
      <c r="C188" s="38">
        <v>26163</v>
      </c>
      <c r="D188" s="37">
        <v>54</v>
      </c>
      <c r="E188" s="37" t="s">
        <v>656</v>
      </c>
      <c r="F188" s="37">
        <v>1</v>
      </c>
    </row>
    <row r="189" spans="1:6" x14ac:dyDescent="0.25">
      <c r="B189" s="37" t="s">
        <v>323</v>
      </c>
      <c r="C189" s="38">
        <v>26163</v>
      </c>
      <c r="D189" s="37">
        <v>54</v>
      </c>
      <c r="E189" s="37" t="s">
        <v>650</v>
      </c>
      <c r="F189" s="37">
        <v>1</v>
      </c>
    </row>
    <row r="190" spans="1:6" ht="30" x14ac:dyDescent="0.25">
      <c r="B190" s="37" t="s">
        <v>326</v>
      </c>
      <c r="C190" s="38">
        <v>26323</v>
      </c>
      <c r="D190" s="37">
        <v>54</v>
      </c>
      <c r="E190" s="37" t="s">
        <v>652</v>
      </c>
      <c r="F190" s="37">
        <v>1</v>
      </c>
    </row>
    <row r="191" spans="1:6" x14ac:dyDescent="0.25">
      <c r="B191" s="37" t="s">
        <v>324</v>
      </c>
      <c r="C191" s="38">
        <v>26163</v>
      </c>
      <c r="D191" s="37">
        <v>54</v>
      </c>
      <c r="E191" s="37" t="s">
        <v>652</v>
      </c>
      <c r="F191" s="37">
        <v>1</v>
      </c>
    </row>
    <row r="192" spans="1:6" x14ac:dyDescent="0.25">
      <c r="A192" s="37" t="s">
        <v>673</v>
      </c>
      <c r="F192" s="37">
        <v>23</v>
      </c>
    </row>
    <row r="193" spans="1:6" x14ac:dyDescent="0.25">
      <c r="A193" s="37" t="s">
        <v>635</v>
      </c>
      <c r="F193" s="37">
        <v>186</v>
      </c>
    </row>
  </sheetData>
  <pageMargins left="0.7" right="0.7" top="0.75" bottom="0.75" header="0.3" footer="0.3"/>
  <pageSetup paperSize="9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E2EE-BA53-4736-9193-BB4937EEF9E1}">
  <dimension ref="A3:F23"/>
  <sheetViews>
    <sheetView topLeftCell="A2" workbookViewId="0">
      <selection activeCell="A20" sqref="A20:G26"/>
    </sheetView>
  </sheetViews>
  <sheetFormatPr defaultRowHeight="15" x14ac:dyDescent="0.25"/>
  <cols>
    <col min="1" max="1" width="20.140625" style="37" bestFit="1" customWidth="1"/>
    <col min="2" max="2" width="23.85546875" style="37" customWidth="1"/>
    <col min="3" max="3" width="14.7109375" style="37" customWidth="1"/>
    <col min="4" max="4" width="8.85546875" style="37" customWidth="1"/>
    <col min="5" max="5" width="11.42578125" style="37" bestFit="1" customWidth="1"/>
    <col min="6" max="6" width="7.28515625" style="37" customWidth="1"/>
    <col min="7" max="16384" width="9.140625" style="37"/>
  </cols>
  <sheetData>
    <row r="3" spans="1:6" ht="30" x14ac:dyDescent="0.25">
      <c r="A3" s="36" t="s">
        <v>678</v>
      </c>
      <c r="B3" s="36" t="s">
        <v>675</v>
      </c>
      <c r="C3" s="36" t="s">
        <v>676</v>
      </c>
      <c r="D3" s="36" t="s">
        <v>666</v>
      </c>
      <c r="E3" s="36" t="s">
        <v>658</v>
      </c>
      <c r="F3" s="37" t="s">
        <v>679</v>
      </c>
    </row>
    <row r="4" spans="1:6" x14ac:dyDescent="0.25">
      <c r="A4" s="37" t="s">
        <v>668</v>
      </c>
      <c r="B4" s="37" t="s">
        <v>301</v>
      </c>
      <c r="C4" s="38">
        <v>42386</v>
      </c>
      <c r="D4" s="37">
        <v>10</v>
      </c>
      <c r="E4" s="37" t="s">
        <v>654</v>
      </c>
      <c r="F4" s="37">
        <v>1</v>
      </c>
    </row>
    <row r="5" spans="1:6" ht="30" x14ac:dyDescent="0.25">
      <c r="B5" s="37" t="s">
        <v>391</v>
      </c>
      <c r="C5" s="38">
        <v>42230</v>
      </c>
      <c r="D5" s="37">
        <v>10</v>
      </c>
      <c r="E5" s="37" t="s">
        <v>654</v>
      </c>
      <c r="F5" s="37">
        <v>1</v>
      </c>
    </row>
    <row r="6" spans="1:6" x14ac:dyDescent="0.25">
      <c r="B6" s="37" t="s">
        <v>274</v>
      </c>
      <c r="C6" s="38">
        <v>38687</v>
      </c>
      <c r="D6" s="37">
        <v>20</v>
      </c>
      <c r="E6" s="37" t="s">
        <v>654</v>
      </c>
      <c r="F6" s="37">
        <v>1</v>
      </c>
    </row>
    <row r="7" spans="1:6" x14ac:dyDescent="0.25">
      <c r="B7" s="37" t="s">
        <v>280</v>
      </c>
      <c r="C7" s="38">
        <v>39534</v>
      </c>
      <c r="D7" s="37">
        <v>18</v>
      </c>
      <c r="E7" s="37" t="s">
        <v>654</v>
      </c>
      <c r="F7" s="37">
        <v>1</v>
      </c>
    </row>
    <row r="8" spans="1:6" x14ac:dyDescent="0.25">
      <c r="B8" s="37" t="s">
        <v>272</v>
      </c>
      <c r="C8" s="38">
        <v>38374</v>
      </c>
      <c r="D8" s="37">
        <v>21</v>
      </c>
      <c r="E8" s="37" t="s">
        <v>654</v>
      </c>
      <c r="F8" s="37">
        <v>1</v>
      </c>
    </row>
    <row r="9" spans="1:6" x14ac:dyDescent="0.25">
      <c r="A9" s="37" t="s">
        <v>669</v>
      </c>
      <c r="F9" s="37">
        <v>5</v>
      </c>
    </row>
    <row r="10" spans="1:6" x14ac:dyDescent="0.25">
      <c r="A10" s="37" t="s">
        <v>670</v>
      </c>
      <c r="B10" s="37" t="s">
        <v>563</v>
      </c>
      <c r="C10" s="38">
        <v>29313</v>
      </c>
      <c r="D10" s="37">
        <v>45</v>
      </c>
      <c r="E10" s="37" t="s">
        <v>654</v>
      </c>
      <c r="F10" s="37">
        <v>1</v>
      </c>
    </row>
    <row r="11" spans="1:6" x14ac:dyDescent="0.25">
      <c r="B11" s="37" t="s">
        <v>439</v>
      </c>
      <c r="C11" s="38">
        <v>28019</v>
      </c>
      <c r="D11" s="37">
        <v>49</v>
      </c>
      <c r="E11" s="37" t="s">
        <v>654</v>
      </c>
      <c r="F11" s="37">
        <v>1</v>
      </c>
    </row>
    <row r="12" spans="1:6" x14ac:dyDescent="0.25">
      <c r="B12" s="37" t="s">
        <v>443</v>
      </c>
      <c r="C12" s="38">
        <v>29418</v>
      </c>
      <c r="D12" s="37">
        <v>45</v>
      </c>
      <c r="E12" s="37" t="s">
        <v>654</v>
      </c>
      <c r="F12" s="37">
        <v>1</v>
      </c>
    </row>
    <row r="13" spans="1:6" x14ac:dyDescent="0.25">
      <c r="B13" s="37" t="s">
        <v>247</v>
      </c>
      <c r="C13" s="38">
        <v>28601</v>
      </c>
      <c r="D13" s="37">
        <v>47</v>
      </c>
      <c r="E13" s="37" t="s">
        <v>654</v>
      </c>
      <c r="F13" s="37">
        <v>1</v>
      </c>
    </row>
    <row r="14" spans="1:6" ht="30" x14ac:dyDescent="0.25">
      <c r="B14" s="37" t="s">
        <v>478</v>
      </c>
      <c r="C14" s="38">
        <v>33256</v>
      </c>
      <c r="D14" s="37">
        <v>35</v>
      </c>
      <c r="E14" s="37" t="s">
        <v>654</v>
      </c>
      <c r="F14" s="37">
        <v>1</v>
      </c>
    </row>
    <row r="15" spans="1:6" x14ac:dyDescent="0.25">
      <c r="B15" s="37" t="s">
        <v>245</v>
      </c>
      <c r="C15" s="38">
        <v>28483</v>
      </c>
      <c r="D15" s="37">
        <v>48</v>
      </c>
      <c r="E15" s="37" t="s">
        <v>654</v>
      </c>
      <c r="F15" s="37">
        <v>1</v>
      </c>
    </row>
    <row r="16" spans="1:6" x14ac:dyDescent="0.25">
      <c r="A16" s="37" t="s">
        <v>671</v>
      </c>
      <c r="F16" s="37">
        <v>6</v>
      </c>
    </row>
    <row r="17" spans="1:6" x14ac:dyDescent="0.25">
      <c r="A17" s="37" t="s">
        <v>672</v>
      </c>
      <c r="B17" s="37" t="s">
        <v>238</v>
      </c>
      <c r="C17" s="38">
        <v>24781</v>
      </c>
      <c r="D17" s="37">
        <v>58</v>
      </c>
      <c r="E17" s="37" t="s">
        <v>654</v>
      </c>
      <c r="F17" s="37">
        <v>1</v>
      </c>
    </row>
    <row r="18" spans="1:6" x14ac:dyDescent="0.25">
      <c r="B18" s="37" t="s">
        <v>557</v>
      </c>
      <c r="C18" s="38">
        <v>26999</v>
      </c>
      <c r="D18" s="37">
        <v>52</v>
      </c>
      <c r="E18" s="37" t="s">
        <v>654</v>
      </c>
      <c r="F18" s="37">
        <v>1</v>
      </c>
    </row>
    <row r="19" spans="1:6" x14ac:dyDescent="0.25">
      <c r="B19" s="37" t="s">
        <v>319</v>
      </c>
      <c r="C19" s="38">
        <v>24807</v>
      </c>
      <c r="D19" s="37">
        <v>58</v>
      </c>
      <c r="E19" s="37" t="s">
        <v>654</v>
      </c>
      <c r="F19" s="37">
        <v>1</v>
      </c>
    </row>
    <row r="20" spans="1:6" x14ac:dyDescent="0.25">
      <c r="B20" s="37" t="s">
        <v>437</v>
      </c>
      <c r="C20" s="38">
        <v>27583</v>
      </c>
      <c r="D20" s="37">
        <v>50</v>
      </c>
      <c r="E20" s="37" t="s">
        <v>654</v>
      </c>
      <c r="F20" s="37">
        <v>1</v>
      </c>
    </row>
    <row r="21" spans="1:6" x14ac:dyDescent="0.25">
      <c r="B21" s="37" t="s">
        <v>559</v>
      </c>
      <c r="C21" s="38">
        <v>27282</v>
      </c>
      <c r="D21" s="37">
        <v>51</v>
      </c>
      <c r="E21" s="37" t="s">
        <v>654</v>
      </c>
      <c r="F21" s="37">
        <v>1</v>
      </c>
    </row>
    <row r="22" spans="1:6" x14ac:dyDescent="0.25">
      <c r="A22" s="37" t="s">
        <v>673</v>
      </c>
      <c r="F22" s="37">
        <v>5</v>
      </c>
    </row>
    <row r="23" spans="1:6" x14ac:dyDescent="0.25">
      <c r="A23" s="37" t="s">
        <v>635</v>
      </c>
      <c r="F23" s="37">
        <v>16</v>
      </c>
    </row>
  </sheetData>
  <pageMargins left="0.7" right="0.7" top="0.75" bottom="0.75" header="0.3" footer="0.3"/>
  <pageSetup paperSize="9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BE65-4ED8-4828-9D2F-AF6D7DEDB4D0}">
  <dimension ref="A3:F34"/>
  <sheetViews>
    <sheetView topLeftCell="A13" workbookViewId="0">
      <selection activeCell="A20" sqref="A20:G26"/>
    </sheetView>
  </sheetViews>
  <sheetFormatPr defaultRowHeight="15" x14ac:dyDescent="0.25"/>
  <cols>
    <col min="1" max="1" width="20.140625" style="37" bestFit="1" customWidth="1"/>
    <col min="2" max="2" width="23.85546875" style="37" customWidth="1"/>
    <col min="3" max="3" width="14.7109375" style="37" customWidth="1"/>
    <col min="4" max="4" width="8.85546875" style="37" customWidth="1"/>
    <col min="5" max="5" width="11.42578125" style="37" bestFit="1" customWidth="1"/>
    <col min="6" max="6" width="7.28515625" style="37" customWidth="1"/>
    <col min="7" max="16384" width="9.140625" style="37"/>
  </cols>
  <sheetData>
    <row r="3" spans="1:6" ht="30" x14ac:dyDescent="0.25">
      <c r="A3" s="36" t="s">
        <v>678</v>
      </c>
      <c r="B3" s="36" t="s">
        <v>675</v>
      </c>
      <c r="C3" s="36" t="s">
        <v>676</v>
      </c>
      <c r="D3" s="36" t="s">
        <v>666</v>
      </c>
      <c r="E3" s="36" t="s">
        <v>658</v>
      </c>
      <c r="F3" s="37" t="s">
        <v>679</v>
      </c>
    </row>
    <row r="4" spans="1:6" x14ac:dyDescent="0.25">
      <c r="A4" s="37" t="s">
        <v>668</v>
      </c>
      <c r="B4" s="37" t="s">
        <v>373</v>
      </c>
      <c r="C4" s="38">
        <v>40191</v>
      </c>
      <c r="D4" s="37">
        <v>16</v>
      </c>
      <c r="E4" s="37" t="s">
        <v>652</v>
      </c>
      <c r="F4" s="37">
        <v>1</v>
      </c>
    </row>
    <row r="5" spans="1:6" x14ac:dyDescent="0.25">
      <c r="A5" s="37" t="s">
        <v>669</v>
      </c>
      <c r="F5" s="37">
        <v>1</v>
      </c>
    </row>
    <row r="6" spans="1:6" x14ac:dyDescent="0.25">
      <c r="A6" s="37" t="s">
        <v>670</v>
      </c>
      <c r="B6" s="37" t="s">
        <v>441</v>
      </c>
      <c r="C6" s="38">
        <v>29418</v>
      </c>
      <c r="D6" s="37">
        <v>45</v>
      </c>
      <c r="E6" s="37" t="s">
        <v>652</v>
      </c>
      <c r="F6" s="37">
        <v>1</v>
      </c>
    </row>
    <row r="7" spans="1:6" x14ac:dyDescent="0.25">
      <c r="B7" s="37" t="s">
        <v>561</v>
      </c>
      <c r="C7" s="38">
        <v>28749</v>
      </c>
      <c r="D7" s="37">
        <v>47</v>
      </c>
      <c r="E7" s="37" t="s">
        <v>652</v>
      </c>
      <c r="F7" s="37">
        <v>1</v>
      </c>
    </row>
    <row r="8" spans="1:6" ht="45" x14ac:dyDescent="0.25">
      <c r="B8" s="37" t="s">
        <v>255</v>
      </c>
      <c r="C8" s="38">
        <v>31402</v>
      </c>
      <c r="D8" s="37">
        <v>40</v>
      </c>
      <c r="E8" s="37" t="s">
        <v>652</v>
      </c>
      <c r="F8" s="37">
        <v>1</v>
      </c>
    </row>
    <row r="9" spans="1:6" x14ac:dyDescent="0.25">
      <c r="B9" s="37" t="s">
        <v>587</v>
      </c>
      <c r="C9" s="38">
        <v>36612</v>
      </c>
      <c r="D9" s="37">
        <v>26</v>
      </c>
      <c r="E9" s="37" t="s">
        <v>652</v>
      </c>
      <c r="F9" s="37">
        <v>1</v>
      </c>
    </row>
    <row r="10" spans="1:6" x14ac:dyDescent="0.25">
      <c r="B10" s="37" t="s">
        <v>464</v>
      </c>
      <c r="C10" s="38">
        <v>32142</v>
      </c>
      <c r="D10" s="37">
        <v>38</v>
      </c>
      <c r="E10" s="37" t="s">
        <v>652</v>
      </c>
      <c r="F10" s="37">
        <v>1</v>
      </c>
    </row>
    <row r="11" spans="1:6" x14ac:dyDescent="0.25">
      <c r="B11" s="37" t="s">
        <v>445</v>
      </c>
      <c r="C11" s="38">
        <v>29571</v>
      </c>
      <c r="D11" s="37">
        <v>45</v>
      </c>
      <c r="E11" s="37" t="s">
        <v>652</v>
      </c>
      <c r="F11" s="37">
        <v>1</v>
      </c>
    </row>
    <row r="12" spans="1:6" x14ac:dyDescent="0.25">
      <c r="B12" s="37" t="s">
        <v>408</v>
      </c>
      <c r="C12" s="38">
        <v>29114</v>
      </c>
      <c r="D12" s="37">
        <v>46</v>
      </c>
      <c r="E12" s="37" t="s">
        <v>652</v>
      </c>
      <c r="F12" s="37">
        <v>1</v>
      </c>
    </row>
    <row r="13" spans="1:6" x14ac:dyDescent="0.25">
      <c r="B13" s="37" t="s">
        <v>343</v>
      </c>
      <c r="C13" s="38">
        <v>30015</v>
      </c>
      <c r="D13" s="37">
        <v>44</v>
      </c>
      <c r="E13" s="37" t="s">
        <v>652</v>
      </c>
      <c r="F13" s="37">
        <v>1</v>
      </c>
    </row>
    <row r="14" spans="1:6" x14ac:dyDescent="0.25">
      <c r="B14" s="37" t="s">
        <v>466</v>
      </c>
      <c r="C14" s="38">
        <v>32263</v>
      </c>
      <c r="D14" s="37">
        <v>37</v>
      </c>
      <c r="E14" s="37" t="s">
        <v>652</v>
      </c>
      <c r="F14" s="37">
        <v>1</v>
      </c>
    </row>
    <row r="15" spans="1:6" x14ac:dyDescent="0.25">
      <c r="B15" s="37" t="s">
        <v>341</v>
      </c>
      <c r="C15" s="38">
        <v>29943</v>
      </c>
      <c r="D15" s="37">
        <v>44</v>
      </c>
      <c r="E15" s="37" t="s">
        <v>652</v>
      </c>
      <c r="F15" s="37">
        <v>1</v>
      </c>
    </row>
    <row r="16" spans="1:6" x14ac:dyDescent="0.25">
      <c r="B16" s="37" t="s">
        <v>406</v>
      </c>
      <c r="C16" s="38">
        <v>28384</v>
      </c>
      <c r="D16" s="37">
        <v>48</v>
      </c>
      <c r="E16" s="37" t="s">
        <v>652</v>
      </c>
      <c r="F16" s="37">
        <v>1</v>
      </c>
    </row>
    <row r="17" spans="1:6" x14ac:dyDescent="0.25">
      <c r="B17" s="37" t="s">
        <v>575</v>
      </c>
      <c r="C17" s="38">
        <v>32365</v>
      </c>
      <c r="D17" s="37">
        <v>37</v>
      </c>
      <c r="E17" s="37" t="s">
        <v>652</v>
      </c>
      <c r="F17" s="37">
        <v>1</v>
      </c>
    </row>
    <row r="18" spans="1:6" x14ac:dyDescent="0.25">
      <c r="B18" s="37" t="s">
        <v>565</v>
      </c>
      <c r="C18" s="38">
        <v>29943</v>
      </c>
      <c r="D18" s="37">
        <v>44</v>
      </c>
      <c r="E18" s="37" t="s">
        <v>652</v>
      </c>
      <c r="F18" s="37">
        <v>1</v>
      </c>
    </row>
    <row r="19" spans="1:6" x14ac:dyDescent="0.25">
      <c r="B19" s="37" t="s">
        <v>456</v>
      </c>
      <c r="C19" s="38">
        <v>31306</v>
      </c>
      <c r="D19" s="37">
        <v>40</v>
      </c>
      <c r="E19" s="37" t="s">
        <v>652</v>
      </c>
      <c r="F19" s="37">
        <v>1</v>
      </c>
    </row>
    <row r="20" spans="1:6" x14ac:dyDescent="0.25">
      <c r="B20" s="37" t="s">
        <v>458</v>
      </c>
      <c r="C20" s="38">
        <v>31402</v>
      </c>
      <c r="D20" s="37">
        <v>40</v>
      </c>
      <c r="E20" s="37" t="s">
        <v>652</v>
      </c>
      <c r="F20" s="37">
        <v>1</v>
      </c>
    </row>
    <row r="21" spans="1:6" x14ac:dyDescent="0.25">
      <c r="B21" s="37" t="s">
        <v>251</v>
      </c>
      <c r="C21" s="38">
        <v>29788</v>
      </c>
      <c r="D21" s="37">
        <v>44</v>
      </c>
      <c r="E21" s="37" t="s">
        <v>652</v>
      </c>
      <c r="F21" s="37">
        <v>1</v>
      </c>
    </row>
    <row r="22" spans="1:6" x14ac:dyDescent="0.25">
      <c r="B22" s="37" t="s">
        <v>450</v>
      </c>
      <c r="C22" s="38">
        <v>30207</v>
      </c>
      <c r="D22" s="37">
        <v>43</v>
      </c>
      <c r="E22" s="37" t="s">
        <v>652</v>
      </c>
      <c r="F22" s="37">
        <v>1</v>
      </c>
    </row>
    <row r="23" spans="1:6" x14ac:dyDescent="0.25">
      <c r="B23" s="37" t="s">
        <v>447</v>
      </c>
      <c r="C23" s="38">
        <v>29684</v>
      </c>
      <c r="D23" s="37">
        <v>44</v>
      </c>
      <c r="E23" s="37" t="s">
        <v>652</v>
      </c>
      <c r="F23" s="37">
        <v>1</v>
      </c>
    </row>
    <row r="24" spans="1:6" x14ac:dyDescent="0.25">
      <c r="B24" s="37" t="s">
        <v>460</v>
      </c>
      <c r="C24" s="38">
        <v>31822</v>
      </c>
      <c r="D24" s="37">
        <v>39</v>
      </c>
      <c r="E24" s="37" t="s">
        <v>652</v>
      </c>
      <c r="F24" s="37">
        <v>1</v>
      </c>
    </row>
    <row r="25" spans="1:6" x14ac:dyDescent="0.25">
      <c r="B25" s="37" t="s">
        <v>338</v>
      </c>
      <c r="C25" s="38">
        <v>29705</v>
      </c>
      <c r="D25" s="37">
        <v>44</v>
      </c>
      <c r="E25" s="37" t="s">
        <v>652</v>
      </c>
      <c r="F25" s="37">
        <v>1</v>
      </c>
    </row>
    <row r="26" spans="1:6" x14ac:dyDescent="0.25">
      <c r="B26" s="37" t="s">
        <v>452</v>
      </c>
      <c r="C26" s="38">
        <v>30701</v>
      </c>
      <c r="D26" s="37">
        <v>42</v>
      </c>
      <c r="E26" s="37" t="s">
        <v>652</v>
      </c>
      <c r="F26" s="37">
        <v>1</v>
      </c>
    </row>
    <row r="27" spans="1:6" x14ac:dyDescent="0.25">
      <c r="B27" s="37" t="s">
        <v>330</v>
      </c>
      <c r="C27" s="38">
        <v>28238</v>
      </c>
      <c r="D27" s="37">
        <v>48</v>
      </c>
      <c r="E27" s="37" t="s">
        <v>652</v>
      </c>
      <c r="F27" s="37">
        <v>1</v>
      </c>
    </row>
    <row r="28" spans="1:6" x14ac:dyDescent="0.25">
      <c r="A28" s="37" t="s">
        <v>671</v>
      </c>
      <c r="F28" s="37">
        <v>22</v>
      </c>
    </row>
    <row r="29" spans="1:6" x14ac:dyDescent="0.25">
      <c r="A29" s="37" t="s">
        <v>672</v>
      </c>
      <c r="B29" s="37" t="s">
        <v>315</v>
      </c>
      <c r="C29" s="38">
        <v>22737</v>
      </c>
      <c r="D29" s="37">
        <v>64</v>
      </c>
      <c r="E29" s="37" t="s">
        <v>652</v>
      </c>
      <c r="F29" s="37">
        <v>1</v>
      </c>
    </row>
    <row r="30" spans="1:6" ht="30" x14ac:dyDescent="0.25">
      <c r="B30" s="37" t="s">
        <v>321</v>
      </c>
      <c r="C30" s="38">
        <v>26163</v>
      </c>
      <c r="D30" s="37">
        <v>54</v>
      </c>
      <c r="E30" s="37" t="s">
        <v>652</v>
      </c>
      <c r="F30" s="37">
        <v>1</v>
      </c>
    </row>
    <row r="31" spans="1:6" ht="30" x14ac:dyDescent="0.25">
      <c r="B31" s="37" t="s">
        <v>326</v>
      </c>
      <c r="C31" s="38">
        <v>26323</v>
      </c>
      <c r="D31" s="37">
        <v>54</v>
      </c>
      <c r="E31" s="37" t="s">
        <v>652</v>
      </c>
      <c r="F31" s="37">
        <v>1</v>
      </c>
    </row>
    <row r="32" spans="1:6" x14ac:dyDescent="0.25">
      <c r="B32" s="37" t="s">
        <v>324</v>
      </c>
      <c r="C32" s="38">
        <v>26163</v>
      </c>
      <c r="D32" s="37">
        <v>54</v>
      </c>
      <c r="E32" s="37" t="s">
        <v>652</v>
      </c>
      <c r="F32" s="37">
        <v>1</v>
      </c>
    </row>
    <row r="33" spans="1:6" x14ac:dyDescent="0.25">
      <c r="A33" s="37" t="s">
        <v>673</v>
      </c>
      <c r="F33" s="37">
        <v>4</v>
      </c>
    </row>
    <row r="34" spans="1:6" x14ac:dyDescent="0.25">
      <c r="A34" s="37" t="s">
        <v>635</v>
      </c>
      <c r="F34" s="37">
        <v>27</v>
      </c>
    </row>
  </sheetData>
  <pageMargins left="0.7" right="0.7" top="0.75" bottom="0.75" header="0.3" footer="0.3"/>
  <pageSetup paperSize="9" orientation="portrait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8DBD-F82D-457F-8318-FAEE1B99AD75}">
  <dimension ref="A3:F69"/>
  <sheetViews>
    <sheetView topLeftCell="A2" workbookViewId="0">
      <selection activeCell="A20" sqref="A20:G26"/>
    </sheetView>
  </sheetViews>
  <sheetFormatPr defaultRowHeight="15" x14ac:dyDescent="0.25"/>
  <cols>
    <col min="1" max="1" width="20.140625" style="37" bestFit="1" customWidth="1"/>
    <col min="2" max="2" width="23.85546875" style="37" customWidth="1"/>
    <col min="3" max="3" width="14.7109375" style="37" customWidth="1"/>
    <col min="4" max="4" width="8.85546875" style="37" customWidth="1"/>
    <col min="5" max="5" width="11.42578125" style="37" bestFit="1" customWidth="1"/>
    <col min="6" max="6" width="7.28515625" style="37" customWidth="1"/>
    <col min="7" max="16384" width="9.140625" style="37"/>
  </cols>
  <sheetData>
    <row r="3" spans="1:6" ht="30" x14ac:dyDescent="0.25">
      <c r="A3" s="36" t="s">
        <v>678</v>
      </c>
      <c r="B3" s="36" t="s">
        <v>675</v>
      </c>
      <c r="C3" s="36" t="s">
        <v>676</v>
      </c>
      <c r="D3" s="36" t="s">
        <v>666</v>
      </c>
      <c r="E3" s="36" t="s">
        <v>658</v>
      </c>
      <c r="F3" s="37" t="s">
        <v>679</v>
      </c>
    </row>
    <row r="4" spans="1:6" ht="30" x14ac:dyDescent="0.25">
      <c r="A4" s="37" t="s">
        <v>668</v>
      </c>
      <c r="B4" s="37" t="s">
        <v>266</v>
      </c>
      <c r="C4" s="38">
        <v>37513</v>
      </c>
      <c r="D4" s="37">
        <v>23</v>
      </c>
      <c r="E4" s="37" t="s">
        <v>650</v>
      </c>
      <c r="F4" s="37">
        <v>1</v>
      </c>
    </row>
    <row r="5" spans="1:6" x14ac:dyDescent="0.25">
      <c r="B5" s="37" t="s">
        <v>268</v>
      </c>
      <c r="C5" s="38">
        <v>37882</v>
      </c>
      <c r="D5" s="37">
        <v>22</v>
      </c>
      <c r="E5" s="37" t="s">
        <v>650</v>
      </c>
      <c r="F5" s="37">
        <v>1</v>
      </c>
    </row>
    <row r="6" spans="1:6" x14ac:dyDescent="0.25">
      <c r="B6" s="37" t="s">
        <v>278</v>
      </c>
      <c r="C6" s="38">
        <v>39534</v>
      </c>
      <c r="D6" s="37">
        <v>18</v>
      </c>
      <c r="E6" s="37" t="s">
        <v>650</v>
      </c>
      <c r="F6" s="37">
        <v>1</v>
      </c>
    </row>
    <row r="7" spans="1:6" x14ac:dyDescent="0.25">
      <c r="B7" s="37" t="s">
        <v>387</v>
      </c>
      <c r="C7" s="38">
        <v>41720</v>
      </c>
      <c r="D7" s="37">
        <v>12</v>
      </c>
      <c r="E7" s="37" t="s">
        <v>650</v>
      </c>
      <c r="F7" s="37">
        <v>1</v>
      </c>
    </row>
    <row r="8" spans="1:6" x14ac:dyDescent="0.25">
      <c r="B8" s="37" t="s">
        <v>502</v>
      </c>
      <c r="C8" s="38">
        <v>39726</v>
      </c>
      <c r="D8" s="37">
        <v>17</v>
      </c>
      <c r="E8" s="37" t="s">
        <v>650</v>
      </c>
      <c r="F8" s="37">
        <v>1</v>
      </c>
    </row>
    <row r="9" spans="1:6" x14ac:dyDescent="0.25">
      <c r="B9" s="37" t="s">
        <v>286</v>
      </c>
      <c r="C9" s="38">
        <v>40191</v>
      </c>
      <c r="D9" s="37">
        <v>16</v>
      </c>
      <c r="E9" s="37" t="s">
        <v>650</v>
      </c>
      <c r="F9" s="37">
        <v>1</v>
      </c>
    </row>
    <row r="10" spans="1:6" x14ac:dyDescent="0.25">
      <c r="B10" s="37" t="s">
        <v>488</v>
      </c>
      <c r="C10" s="38">
        <v>37012</v>
      </c>
      <c r="D10" s="37">
        <v>24</v>
      </c>
      <c r="E10" s="37" t="s">
        <v>650</v>
      </c>
      <c r="F10" s="37">
        <v>1</v>
      </c>
    </row>
    <row r="11" spans="1:6" x14ac:dyDescent="0.25">
      <c r="B11" s="37" t="s">
        <v>601</v>
      </c>
      <c r="C11" s="38">
        <v>42552</v>
      </c>
      <c r="D11" s="37">
        <v>9</v>
      </c>
      <c r="E11" s="37" t="s">
        <v>650</v>
      </c>
      <c r="F11" s="37">
        <v>1</v>
      </c>
    </row>
    <row r="12" spans="1:6" x14ac:dyDescent="0.25">
      <c r="B12" s="37" t="s">
        <v>494</v>
      </c>
      <c r="C12" s="38">
        <v>38541</v>
      </c>
      <c r="D12" s="37">
        <v>20</v>
      </c>
      <c r="E12" s="37" t="s">
        <v>650</v>
      </c>
      <c r="F12" s="37">
        <v>1</v>
      </c>
    </row>
    <row r="13" spans="1:6" x14ac:dyDescent="0.25">
      <c r="B13" s="37" t="s">
        <v>514</v>
      </c>
      <c r="C13" s="38">
        <v>41359</v>
      </c>
      <c r="D13" s="37">
        <v>13</v>
      </c>
      <c r="E13" s="37" t="s">
        <v>650</v>
      </c>
      <c r="F13" s="37">
        <v>1</v>
      </c>
    </row>
    <row r="14" spans="1:6" x14ac:dyDescent="0.25">
      <c r="B14" s="37" t="s">
        <v>284</v>
      </c>
      <c r="C14" s="38">
        <v>40163</v>
      </c>
      <c r="D14" s="37">
        <v>16</v>
      </c>
      <c r="E14" s="37" t="s">
        <v>650</v>
      </c>
      <c r="F14" s="37">
        <v>1</v>
      </c>
    </row>
    <row r="15" spans="1:6" x14ac:dyDescent="0.25">
      <c r="B15" s="37" t="s">
        <v>307</v>
      </c>
      <c r="C15" s="38">
        <v>45008</v>
      </c>
      <c r="D15" s="37">
        <v>3</v>
      </c>
      <c r="E15" s="37" t="s">
        <v>650</v>
      </c>
      <c r="F15" s="37">
        <v>1</v>
      </c>
    </row>
    <row r="16" spans="1:6" x14ac:dyDescent="0.25">
      <c r="B16" s="37" t="s">
        <v>496</v>
      </c>
      <c r="C16" s="38">
        <v>38968</v>
      </c>
      <c r="D16" s="37">
        <v>19</v>
      </c>
      <c r="E16" s="37" t="s">
        <v>650</v>
      </c>
      <c r="F16" s="37">
        <v>1</v>
      </c>
    </row>
    <row r="17" spans="2:6" x14ac:dyDescent="0.25">
      <c r="B17" s="37" t="s">
        <v>490</v>
      </c>
      <c r="C17" s="38">
        <v>38095</v>
      </c>
      <c r="D17" s="37">
        <v>21</v>
      </c>
      <c r="E17" s="37" t="s">
        <v>650</v>
      </c>
      <c r="F17" s="37">
        <v>1</v>
      </c>
    </row>
    <row r="18" spans="2:6" x14ac:dyDescent="0.25">
      <c r="B18" s="37" t="s">
        <v>263</v>
      </c>
      <c r="C18" s="38">
        <v>37326</v>
      </c>
      <c r="D18" s="37">
        <v>24</v>
      </c>
      <c r="E18" s="37" t="s">
        <v>650</v>
      </c>
      <c r="F18" s="37">
        <v>1</v>
      </c>
    </row>
    <row r="19" spans="2:6" x14ac:dyDescent="0.25">
      <c r="B19" s="37" t="s">
        <v>548</v>
      </c>
      <c r="C19" s="38">
        <v>45839</v>
      </c>
      <c r="D19" s="37">
        <v>0</v>
      </c>
      <c r="E19" s="37" t="s">
        <v>650</v>
      </c>
      <c r="F19" s="37">
        <v>1</v>
      </c>
    </row>
    <row r="20" spans="2:6" x14ac:dyDescent="0.25">
      <c r="B20" s="37" t="s">
        <v>395</v>
      </c>
      <c r="C20" s="38">
        <v>42774</v>
      </c>
      <c r="D20" s="37">
        <v>9</v>
      </c>
      <c r="E20" s="37" t="s">
        <v>650</v>
      </c>
      <c r="F20" s="37">
        <v>1</v>
      </c>
    </row>
    <row r="21" spans="2:6" x14ac:dyDescent="0.25">
      <c r="B21" s="37" t="s">
        <v>369</v>
      </c>
      <c r="C21" s="38">
        <v>38968</v>
      </c>
      <c r="D21" s="37">
        <v>19</v>
      </c>
      <c r="E21" s="37" t="s">
        <v>650</v>
      </c>
      <c r="F21" s="37">
        <v>1</v>
      </c>
    </row>
    <row r="22" spans="2:6" x14ac:dyDescent="0.25">
      <c r="B22" s="37" t="s">
        <v>377</v>
      </c>
      <c r="C22" s="38">
        <v>40904</v>
      </c>
      <c r="D22" s="37">
        <v>14</v>
      </c>
      <c r="E22" s="37" t="s">
        <v>650</v>
      </c>
      <c r="F22" s="37">
        <v>1</v>
      </c>
    </row>
    <row r="23" spans="2:6" x14ac:dyDescent="0.25">
      <c r="B23" s="37" t="s">
        <v>379</v>
      </c>
      <c r="C23" s="38">
        <v>41642</v>
      </c>
      <c r="D23" s="37">
        <v>12</v>
      </c>
      <c r="E23" s="37" t="s">
        <v>650</v>
      </c>
      <c r="F23" s="37">
        <v>1</v>
      </c>
    </row>
    <row r="24" spans="2:6" x14ac:dyDescent="0.25">
      <c r="B24" s="37" t="s">
        <v>591</v>
      </c>
      <c r="C24" s="38">
        <v>38056</v>
      </c>
      <c r="D24" s="37">
        <v>22</v>
      </c>
      <c r="E24" s="37" t="s">
        <v>650</v>
      </c>
      <c r="F24" s="37">
        <v>1</v>
      </c>
    </row>
    <row r="25" spans="2:6" x14ac:dyDescent="0.25">
      <c r="B25" s="37" t="s">
        <v>510</v>
      </c>
      <c r="C25" s="38">
        <v>41359</v>
      </c>
      <c r="D25" s="37">
        <v>13</v>
      </c>
      <c r="E25" s="37" t="s">
        <v>650</v>
      </c>
      <c r="F25" s="37">
        <v>1</v>
      </c>
    </row>
    <row r="26" spans="2:6" x14ac:dyDescent="0.25">
      <c r="B26" s="37" t="s">
        <v>385</v>
      </c>
      <c r="C26" s="38">
        <v>41680</v>
      </c>
      <c r="D26" s="37">
        <v>12</v>
      </c>
      <c r="E26" s="37" t="s">
        <v>650</v>
      </c>
      <c r="F26" s="37">
        <v>1</v>
      </c>
    </row>
    <row r="27" spans="2:6" x14ac:dyDescent="0.25">
      <c r="B27" s="37" t="s">
        <v>371</v>
      </c>
      <c r="C27" s="38">
        <v>39073</v>
      </c>
      <c r="D27" s="37">
        <v>19</v>
      </c>
      <c r="E27" s="37" t="s">
        <v>650</v>
      </c>
      <c r="F27" s="37">
        <v>1</v>
      </c>
    </row>
    <row r="28" spans="2:6" x14ac:dyDescent="0.25">
      <c r="B28" s="37" t="s">
        <v>383</v>
      </c>
      <c r="C28" s="38">
        <v>41642</v>
      </c>
      <c r="D28" s="37">
        <v>12</v>
      </c>
      <c r="E28" s="37" t="s">
        <v>650</v>
      </c>
      <c r="F28" s="37">
        <v>1</v>
      </c>
    </row>
    <row r="29" spans="2:6" x14ac:dyDescent="0.25">
      <c r="B29" s="37" t="s">
        <v>365</v>
      </c>
      <c r="C29" s="38">
        <v>38842</v>
      </c>
      <c r="D29" s="37">
        <v>19</v>
      </c>
      <c r="E29" s="37" t="s">
        <v>650</v>
      </c>
      <c r="F29" s="37">
        <v>1</v>
      </c>
    </row>
    <row r="30" spans="2:6" x14ac:dyDescent="0.25">
      <c r="B30" s="37" t="s">
        <v>593</v>
      </c>
      <c r="C30" s="38">
        <v>39028</v>
      </c>
      <c r="D30" s="37">
        <v>19</v>
      </c>
      <c r="E30" s="37" t="s">
        <v>650</v>
      </c>
      <c r="F30" s="37">
        <v>1</v>
      </c>
    </row>
    <row r="31" spans="2:6" x14ac:dyDescent="0.25">
      <c r="B31" s="37" t="s">
        <v>516</v>
      </c>
      <c r="C31" s="38">
        <v>41426</v>
      </c>
      <c r="D31" s="37">
        <v>12</v>
      </c>
      <c r="E31" s="37" t="s">
        <v>650</v>
      </c>
      <c r="F31" s="37">
        <v>1</v>
      </c>
    </row>
    <row r="32" spans="2:6" x14ac:dyDescent="0.25">
      <c r="B32" s="37" t="s">
        <v>589</v>
      </c>
      <c r="C32" s="38">
        <v>37012</v>
      </c>
      <c r="D32" s="37">
        <v>24</v>
      </c>
      <c r="E32" s="37" t="s">
        <v>650</v>
      </c>
      <c r="F32" s="37">
        <v>1</v>
      </c>
    </row>
    <row r="33" spans="1:6" x14ac:dyDescent="0.25">
      <c r="B33" s="37" t="s">
        <v>363</v>
      </c>
      <c r="C33" s="38">
        <v>37012</v>
      </c>
      <c r="D33" s="37">
        <v>24</v>
      </c>
      <c r="E33" s="37" t="s">
        <v>650</v>
      </c>
      <c r="F33" s="37">
        <v>1</v>
      </c>
    </row>
    <row r="34" spans="1:6" x14ac:dyDescent="0.25">
      <c r="B34" s="37" t="s">
        <v>492</v>
      </c>
      <c r="C34" s="38">
        <v>38191</v>
      </c>
      <c r="D34" s="37">
        <v>21</v>
      </c>
      <c r="E34" s="37" t="s">
        <v>650</v>
      </c>
      <c r="F34" s="37">
        <v>1</v>
      </c>
    </row>
    <row r="35" spans="1:6" x14ac:dyDescent="0.25">
      <c r="B35" s="37" t="s">
        <v>282</v>
      </c>
      <c r="C35" s="38">
        <v>40003</v>
      </c>
      <c r="D35" s="37">
        <v>16</v>
      </c>
      <c r="E35" s="37" t="s">
        <v>650</v>
      </c>
      <c r="F35" s="37">
        <v>1</v>
      </c>
    </row>
    <row r="36" spans="1:6" x14ac:dyDescent="0.25">
      <c r="B36" s="37" t="s">
        <v>393</v>
      </c>
      <c r="C36" s="38">
        <v>42230</v>
      </c>
      <c r="D36" s="37">
        <v>10</v>
      </c>
      <c r="E36" s="37" t="s">
        <v>650</v>
      </c>
      <c r="F36" s="37">
        <v>1</v>
      </c>
    </row>
    <row r="37" spans="1:6" x14ac:dyDescent="0.25">
      <c r="A37" s="37" t="s">
        <v>669</v>
      </c>
      <c r="F37" s="37">
        <v>33</v>
      </c>
    </row>
    <row r="38" spans="1:6" x14ac:dyDescent="0.25">
      <c r="A38" s="37" t="s">
        <v>670</v>
      </c>
      <c r="B38" s="37" t="s">
        <v>476</v>
      </c>
      <c r="C38" s="38">
        <v>33147</v>
      </c>
      <c r="D38" s="37">
        <v>35</v>
      </c>
      <c r="E38" s="37" t="s">
        <v>650</v>
      </c>
      <c r="F38" s="37">
        <v>1</v>
      </c>
    </row>
    <row r="39" spans="1:6" ht="30" x14ac:dyDescent="0.25">
      <c r="B39" s="37" t="s">
        <v>454</v>
      </c>
      <c r="C39" s="38">
        <v>31240</v>
      </c>
      <c r="D39" s="37">
        <v>40</v>
      </c>
      <c r="E39" s="37" t="s">
        <v>650</v>
      </c>
      <c r="F39" s="37">
        <v>1</v>
      </c>
    </row>
    <row r="40" spans="1:6" x14ac:dyDescent="0.25">
      <c r="B40" s="37" t="s">
        <v>340</v>
      </c>
      <c r="C40" s="38">
        <v>29846</v>
      </c>
      <c r="D40" s="37">
        <v>44</v>
      </c>
      <c r="E40" s="37" t="s">
        <v>650</v>
      </c>
      <c r="F40" s="37">
        <v>1</v>
      </c>
    </row>
    <row r="41" spans="1:6" x14ac:dyDescent="0.25">
      <c r="B41" s="37" t="s">
        <v>472</v>
      </c>
      <c r="C41" s="38">
        <v>32578</v>
      </c>
      <c r="D41" s="37">
        <v>37</v>
      </c>
      <c r="E41" s="37" t="s">
        <v>650</v>
      </c>
      <c r="F41" s="37">
        <v>1</v>
      </c>
    </row>
    <row r="42" spans="1:6" x14ac:dyDescent="0.25">
      <c r="B42" s="37" t="s">
        <v>585</v>
      </c>
      <c r="C42" s="38">
        <v>36612</v>
      </c>
      <c r="D42" s="37">
        <v>26</v>
      </c>
      <c r="E42" s="37" t="s">
        <v>650</v>
      </c>
      <c r="F42" s="37">
        <v>1</v>
      </c>
    </row>
    <row r="43" spans="1:6" x14ac:dyDescent="0.25">
      <c r="B43" s="37" t="s">
        <v>468</v>
      </c>
      <c r="C43" s="38">
        <v>32365</v>
      </c>
      <c r="D43" s="37">
        <v>37</v>
      </c>
      <c r="E43" s="37" t="s">
        <v>650</v>
      </c>
      <c r="F43" s="37">
        <v>1</v>
      </c>
    </row>
    <row r="44" spans="1:6" x14ac:dyDescent="0.25">
      <c r="B44" s="37" t="s">
        <v>474</v>
      </c>
      <c r="C44" s="38">
        <v>32862</v>
      </c>
      <c r="D44" s="37">
        <v>36</v>
      </c>
      <c r="E44" s="37" t="s">
        <v>650</v>
      </c>
      <c r="F44" s="37">
        <v>1</v>
      </c>
    </row>
    <row r="45" spans="1:6" x14ac:dyDescent="0.25">
      <c r="B45" s="37" t="s">
        <v>462</v>
      </c>
      <c r="C45" s="38">
        <v>32037</v>
      </c>
      <c r="D45" s="37">
        <v>38</v>
      </c>
      <c r="E45" s="37" t="s">
        <v>650</v>
      </c>
      <c r="F45" s="37">
        <v>1</v>
      </c>
    </row>
    <row r="46" spans="1:6" ht="30" x14ac:dyDescent="0.25">
      <c r="B46" s="37" t="s">
        <v>572</v>
      </c>
      <c r="C46" s="38">
        <v>32365</v>
      </c>
      <c r="D46" s="37">
        <v>37</v>
      </c>
      <c r="E46" s="37" t="s">
        <v>650</v>
      </c>
      <c r="F46" s="37">
        <v>1</v>
      </c>
    </row>
    <row r="47" spans="1:6" x14ac:dyDescent="0.25">
      <c r="B47" s="37" t="s">
        <v>259</v>
      </c>
      <c r="C47" s="38">
        <v>31897</v>
      </c>
      <c r="D47" s="37">
        <v>38</v>
      </c>
      <c r="E47" s="37" t="s">
        <v>650</v>
      </c>
      <c r="F47" s="37">
        <v>1</v>
      </c>
    </row>
    <row r="48" spans="1:6" x14ac:dyDescent="0.25">
      <c r="B48" s="37" t="s">
        <v>569</v>
      </c>
      <c r="C48" s="38">
        <v>31976</v>
      </c>
      <c r="D48" s="37">
        <v>38</v>
      </c>
      <c r="E48" s="37" t="s">
        <v>650</v>
      </c>
      <c r="F48" s="37">
        <v>1</v>
      </c>
    </row>
    <row r="49" spans="1:6" x14ac:dyDescent="0.25">
      <c r="B49" s="37" t="s">
        <v>249</v>
      </c>
      <c r="C49" s="38">
        <v>29788</v>
      </c>
      <c r="D49" s="37">
        <v>44</v>
      </c>
      <c r="E49" s="37" t="s">
        <v>650</v>
      </c>
      <c r="F49" s="37">
        <v>1</v>
      </c>
    </row>
    <row r="50" spans="1:6" x14ac:dyDescent="0.25">
      <c r="B50" s="37" t="s">
        <v>336</v>
      </c>
      <c r="C50" s="38">
        <v>29705</v>
      </c>
      <c r="D50" s="37">
        <v>44</v>
      </c>
      <c r="E50" s="37" t="s">
        <v>650</v>
      </c>
      <c r="F50" s="37">
        <v>1</v>
      </c>
    </row>
    <row r="51" spans="1:6" x14ac:dyDescent="0.25">
      <c r="B51" s="37" t="s">
        <v>480</v>
      </c>
      <c r="C51" s="38">
        <v>35947</v>
      </c>
      <c r="D51" s="37">
        <v>27</v>
      </c>
      <c r="E51" s="37" t="s">
        <v>650</v>
      </c>
      <c r="F51" s="37">
        <v>1</v>
      </c>
    </row>
    <row r="52" spans="1:6" x14ac:dyDescent="0.25">
      <c r="B52" s="37" t="s">
        <v>482</v>
      </c>
      <c r="C52" s="38">
        <v>36094</v>
      </c>
      <c r="D52" s="37">
        <v>27</v>
      </c>
      <c r="E52" s="37" t="s">
        <v>650</v>
      </c>
      <c r="F52" s="37">
        <v>1</v>
      </c>
    </row>
    <row r="53" spans="1:6" x14ac:dyDescent="0.25">
      <c r="B53" s="37" t="s">
        <v>484</v>
      </c>
      <c r="C53" s="38">
        <v>36612</v>
      </c>
      <c r="D53" s="37">
        <v>26</v>
      </c>
      <c r="E53" s="37" t="s">
        <v>650</v>
      </c>
      <c r="F53" s="37">
        <v>1</v>
      </c>
    </row>
    <row r="54" spans="1:6" x14ac:dyDescent="0.25">
      <c r="B54" s="37" t="s">
        <v>345</v>
      </c>
      <c r="C54" s="38">
        <v>30156</v>
      </c>
      <c r="D54" s="37">
        <v>43</v>
      </c>
      <c r="E54" s="37" t="s">
        <v>650</v>
      </c>
      <c r="F54" s="37">
        <v>1</v>
      </c>
    </row>
    <row r="55" spans="1:6" x14ac:dyDescent="0.25">
      <c r="B55" s="37" t="s">
        <v>357</v>
      </c>
      <c r="C55" s="38">
        <v>32142</v>
      </c>
      <c r="D55" s="37">
        <v>38</v>
      </c>
      <c r="E55" s="37" t="s">
        <v>650</v>
      </c>
      <c r="F55" s="37">
        <v>1</v>
      </c>
    </row>
    <row r="56" spans="1:6" x14ac:dyDescent="0.25">
      <c r="B56" s="37" t="s">
        <v>581</v>
      </c>
      <c r="C56" s="38">
        <v>36219</v>
      </c>
      <c r="D56" s="37">
        <v>27</v>
      </c>
      <c r="E56" s="37" t="s">
        <v>650</v>
      </c>
      <c r="F56" s="37">
        <v>1</v>
      </c>
    </row>
    <row r="57" spans="1:6" x14ac:dyDescent="0.25">
      <c r="B57" s="37" t="s">
        <v>583</v>
      </c>
      <c r="C57" s="38">
        <v>36261</v>
      </c>
      <c r="D57" s="37">
        <v>26</v>
      </c>
      <c r="E57" s="37" t="s">
        <v>650</v>
      </c>
      <c r="F57" s="37">
        <v>1</v>
      </c>
    </row>
    <row r="58" spans="1:6" x14ac:dyDescent="0.25">
      <c r="B58" s="37" t="s">
        <v>577</v>
      </c>
      <c r="C58" s="38">
        <v>35947</v>
      </c>
      <c r="D58" s="37">
        <v>27</v>
      </c>
      <c r="E58" s="37" t="s">
        <v>650</v>
      </c>
      <c r="F58" s="37">
        <v>1</v>
      </c>
    </row>
    <row r="59" spans="1:6" x14ac:dyDescent="0.25">
      <c r="B59" s="37" t="s">
        <v>414</v>
      </c>
      <c r="C59" s="38">
        <v>33147</v>
      </c>
      <c r="D59" s="37">
        <v>35</v>
      </c>
      <c r="E59" s="37" t="s">
        <v>650</v>
      </c>
      <c r="F59" s="37">
        <v>1</v>
      </c>
    </row>
    <row r="60" spans="1:6" x14ac:dyDescent="0.25">
      <c r="B60" s="37" t="s">
        <v>359</v>
      </c>
      <c r="C60" s="38">
        <v>32662</v>
      </c>
      <c r="D60" s="37">
        <v>36</v>
      </c>
      <c r="E60" s="37" t="s">
        <v>650</v>
      </c>
      <c r="F60" s="37">
        <v>1</v>
      </c>
    </row>
    <row r="61" spans="1:6" x14ac:dyDescent="0.25">
      <c r="B61" s="37" t="s">
        <v>470</v>
      </c>
      <c r="C61" s="38">
        <v>32494</v>
      </c>
      <c r="D61" s="37">
        <v>37</v>
      </c>
      <c r="E61" s="37" t="s">
        <v>650</v>
      </c>
      <c r="F61" s="37">
        <v>1</v>
      </c>
    </row>
    <row r="62" spans="1:6" x14ac:dyDescent="0.25">
      <c r="A62" s="37" t="s">
        <v>671</v>
      </c>
      <c r="F62" s="37">
        <v>24</v>
      </c>
    </row>
    <row r="63" spans="1:6" x14ac:dyDescent="0.25">
      <c r="A63" s="37" t="s">
        <v>672</v>
      </c>
      <c r="B63" s="37" t="s">
        <v>243</v>
      </c>
      <c r="C63" s="38">
        <v>27164</v>
      </c>
      <c r="D63" s="37">
        <v>51</v>
      </c>
      <c r="E63" s="37" t="s">
        <v>650</v>
      </c>
      <c r="F63" s="37">
        <v>1</v>
      </c>
    </row>
    <row r="64" spans="1:6" x14ac:dyDescent="0.25">
      <c r="B64" s="37" t="s">
        <v>435</v>
      </c>
      <c r="C64" s="38">
        <v>26163</v>
      </c>
      <c r="D64" s="37">
        <v>54</v>
      </c>
      <c r="E64" s="37" t="s">
        <v>650</v>
      </c>
      <c r="F64" s="37">
        <v>1</v>
      </c>
    </row>
    <row r="65" spans="1:6" x14ac:dyDescent="0.25">
      <c r="B65" s="37" t="s">
        <v>318</v>
      </c>
      <c r="C65" s="38">
        <v>22737</v>
      </c>
      <c r="D65" s="37">
        <v>64</v>
      </c>
      <c r="E65" s="37" t="s">
        <v>650</v>
      </c>
      <c r="F65" s="37">
        <v>1</v>
      </c>
    </row>
    <row r="66" spans="1:6" x14ac:dyDescent="0.25">
      <c r="B66" s="37" t="s">
        <v>322</v>
      </c>
      <c r="C66" s="38">
        <v>26163</v>
      </c>
      <c r="D66" s="37">
        <v>54</v>
      </c>
      <c r="E66" s="37" t="s">
        <v>650</v>
      </c>
      <c r="F66" s="37">
        <v>1</v>
      </c>
    </row>
    <row r="67" spans="1:6" x14ac:dyDescent="0.25">
      <c r="B67" s="37" t="s">
        <v>323</v>
      </c>
      <c r="C67" s="38">
        <v>26163</v>
      </c>
      <c r="D67" s="37">
        <v>54</v>
      </c>
      <c r="E67" s="37" t="s">
        <v>650</v>
      </c>
      <c r="F67" s="37">
        <v>1</v>
      </c>
    </row>
    <row r="68" spans="1:6" x14ac:dyDescent="0.25">
      <c r="A68" s="37" t="s">
        <v>673</v>
      </c>
      <c r="F68" s="37">
        <v>5</v>
      </c>
    </row>
    <row r="69" spans="1:6" x14ac:dyDescent="0.25">
      <c r="A69" s="37" t="s">
        <v>635</v>
      </c>
      <c r="F69" s="37">
        <v>62</v>
      </c>
    </row>
  </sheetData>
  <pageMargins left="0.7" right="0.7" top="0.75" bottom="0.75" header="0.3" footer="0.3"/>
  <pageSetup paperSize="9" orientation="portrait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726-D975-4184-B9AE-453542D0F5C1}">
  <dimension ref="A3:F79"/>
  <sheetViews>
    <sheetView workbookViewId="0">
      <selection activeCell="A20" sqref="A20:G26"/>
    </sheetView>
  </sheetViews>
  <sheetFormatPr defaultRowHeight="15" x14ac:dyDescent="0.25"/>
  <cols>
    <col min="1" max="1" width="20.140625" style="37" bestFit="1" customWidth="1"/>
    <col min="2" max="2" width="23.85546875" style="37" customWidth="1"/>
    <col min="3" max="3" width="14.7109375" style="37" customWidth="1"/>
    <col min="4" max="4" width="8.85546875" style="37" customWidth="1"/>
    <col min="5" max="5" width="11.42578125" style="37" bestFit="1" customWidth="1"/>
    <col min="6" max="6" width="7.28515625" style="37" customWidth="1"/>
    <col min="7" max="16384" width="9.140625" style="37"/>
  </cols>
  <sheetData>
    <row r="3" spans="1:6" ht="30" x14ac:dyDescent="0.25">
      <c r="A3" s="36" t="s">
        <v>678</v>
      </c>
      <c r="B3" s="36" t="s">
        <v>675</v>
      </c>
      <c r="C3" s="36" t="s">
        <v>676</v>
      </c>
      <c r="D3" s="36" t="s">
        <v>666</v>
      </c>
      <c r="E3" s="36" t="s">
        <v>658</v>
      </c>
      <c r="F3" s="37" t="s">
        <v>679</v>
      </c>
    </row>
    <row r="4" spans="1:6" x14ac:dyDescent="0.25">
      <c r="A4" s="37" t="s">
        <v>668</v>
      </c>
      <c r="B4" s="37" t="s">
        <v>500</v>
      </c>
      <c r="C4" s="38">
        <v>39438</v>
      </c>
      <c r="D4" s="37">
        <v>18</v>
      </c>
      <c r="E4" s="37" t="s">
        <v>648</v>
      </c>
      <c r="F4" s="37">
        <v>1</v>
      </c>
    </row>
    <row r="5" spans="1:6" x14ac:dyDescent="0.25">
      <c r="B5" s="37" t="s">
        <v>599</v>
      </c>
      <c r="C5" s="38">
        <v>42552</v>
      </c>
      <c r="D5" s="37">
        <v>9</v>
      </c>
      <c r="E5" s="37" t="s">
        <v>648</v>
      </c>
      <c r="F5" s="37">
        <v>1</v>
      </c>
    </row>
    <row r="6" spans="1:6" x14ac:dyDescent="0.25">
      <c r="B6" s="37" t="s">
        <v>367</v>
      </c>
      <c r="C6" s="38">
        <v>38968</v>
      </c>
      <c r="D6" s="37">
        <v>19</v>
      </c>
      <c r="E6" s="37" t="s">
        <v>648</v>
      </c>
      <c r="F6" s="37">
        <v>1</v>
      </c>
    </row>
    <row r="7" spans="1:6" x14ac:dyDescent="0.25">
      <c r="B7" s="37" t="s">
        <v>526</v>
      </c>
      <c r="C7" s="38">
        <v>44700</v>
      </c>
      <c r="D7" s="37">
        <v>3</v>
      </c>
      <c r="E7" s="37" t="s">
        <v>648</v>
      </c>
      <c r="F7" s="37">
        <v>1</v>
      </c>
    </row>
    <row r="8" spans="1:6" x14ac:dyDescent="0.25">
      <c r="B8" s="37" t="s">
        <v>518</v>
      </c>
      <c r="C8" s="38">
        <v>41680</v>
      </c>
      <c r="D8" s="37">
        <v>12</v>
      </c>
      <c r="E8" s="37" t="s">
        <v>648</v>
      </c>
      <c r="F8" s="37">
        <v>1</v>
      </c>
    </row>
    <row r="9" spans="1:6" x14ac:dyDescent="0.25">
      <c r="B9" s="37" t="s">
        <v>276</v>
      </c>
      <c r="C9" s="38">
        <v>38968</v>
      </c>
      <c r="D9" s="37">
        <v>19</v>
      </c>
      <c r="E9" s="37" t="s">
        <v>648</v>
      </c>
      <c r="F9" s="37">
        <v>1</v>
      </c>
    </row>
    <row r="10" spans="1:6" x14ac:dyDescent="0.25">
      <c r="B10" s="37" t="s">
        <v>552</v>
      </c>
      <c r="C10" s="38">
        <v>45938</v>
      </c>
      <c r="D10" s="37">
        <v>0</v>
      </c>
      <c r="E10" s="37" t="s">
        <v>648</v>
      </c>
      <c r="F10" s="37">
        <v>1</v>
      </c>
    </row>
    <row r="11" spans="1:6" x14ac:dyDescent="0.25">
      <c r="B11" s="37" t="s">
        <v>299</v>
      </c>
      <c r="C11" s="38">
        <v>42215</v>
      </c>
      <c r="D11" s="37">
        <v>10</v>
      </c>
      <c r="E11" s="37" t="s">
        <v>648</v>
      </c>
      <c r="F11" s="37">
        <v>1</v>
      </c>
    </row>
    <row r="12" spans="1:6" x14ac:dyDescent="0.25">
      <c r="B12" s="37" t="s">
        <v>498</v>
      </c>
      <c r="C12" s="38">
        <v>39073</v>
      </c>
      <c r="D12" s="37">
        <v>19</v>
      </c>
      <c r="E12" s="37" t="s">
        <v>648</v>
      </c>
      <c r="F12" s="37">
        <v>1</v>
      </c>
    </row>
    <row r="13" spans="1:6" x14ac:dyDescent="0.25">
      <c r="B13" s="37" t="s">
        <v>428</v>
      </c>
      <c r="C13" s="38">
        <v>42630</v>
      </c>
      <c r="D13" s="37">
        <v>9</v>
      </c>
      <c r="E13" s="37" t="s">
        <v>648</v>
      </c>
      <c r="F13" s="37">
        <v>1</v>
      </c>
    </row>
    <row r="14" spans="1:6" x14ac:dyDescent="0.25">
      <c r="B14" s="37" t="s">
        <v>524</v>
      </c>
      <c r="C14" s="38">
        <v>43181</v>
      </c>
      <c r="D14" s="37">
        <v>8</v>
      </c>
      <c r="E14" s="37" t="s">
        <v>648</v>
      </c>
      <c r="F14" s="37">
        <v>1</v>
      </c>
    </row>
    <row r="15" spans="1:6" x14ac:dyDescent="0.25">
      <c r="B15" s="37" t="s">
        <v>546</v>
      </c>
      <c r="C15" s="38">
        <v>45839</v>
      </c>
      <c r="D15" s="37">
        <v>0</v>
      </c>
      <c r="E15" s="37" t="s">
        <v>648</v>
      </c>
      <c r="F15" s="37">
        <v>1</v>
      </c>
    </row>
    <row r="16" spans="1:6" x14ac:dyDescent="0.25">
      <c r="B16" s="37" t="s">
        <v>536</v>
      </c>
      <c r="C16" s="38">
        <v>45294</v>
      </c>
      <c r="D16" s="37">
        <v>2</v>
      </c>
      <c r="E16" s="37" t="s">
        <v>648</v>
      </c>
      <c r="F16" s="37">
        <v>1</v>
      </c>
    </row>
    <row r="17" spans="2:6" x14ac:dyDescent="0.25">
      <c r="B17" s="37" t="s">
        <v>297</v>
      </c>
      <c r="C17" s="38">
        <v>41426</v>
      </c>
      <c r="D17" s="37">
        <v>12</v>
      </c>
      <c r="E17" s="37" t="s">
        <v>648</v>
      </c>
      <c r="F17" s="37">
        <v>1</v>
      </c>
    </row>
    <row r="18" spans="2:6" x14ac:dyDescent="0.25">
      <c r="B18" s="37" t="s">
        <v>420</v>
      </c>
      <c r="C18" s="38">
        <v>41642</v>
      </c>
      <c r="D18" s="37">
        <v>12</v>
      </c>
      <c r="E18" s="37" t="s">
        <v>648</v>
      </c>
      <c r="F18" s="37">
        <v>1</v>
      </c>
    </row>
    <row r="19" spans="2:6" x14ac:dyDescent="0.25">
      <c r="B19" s="37" t="s">
        <v>309</v>
      </c>
      <c r="C19" s="38">
        <v>45882</v>
      </c>
      <c r="D19" s="37">
        <v>0</v>
      </c>
      <c r="E19" s="37" t="s">
        <v>648</v>
      </c>
      <c r="F19" s="37">
        <v>1</v>
      </c>
    </row>
    <row r="20" spans="2:6" x14ac:dyDescent="0.25">
      <c r="B20" s="37" t="s">
        <v>522</v>
      </c>
      <c r="C20" s="38">
        <v>42045</v>
      </c>
      <c r="D20" s="37">
        <v>11</v>
      </c>
      <c r="E20" s="37" t="s">
        <v>648</v>
      </c>
      <c r="F20" s="37">
        <v>1</v>
      </c>
    </row>
    <row r="21" spans="2:6" x14ac:dyDescent="0.25">
      <c r="B21" s="37" t="s">
        <v>528</v>
      </c>
      <c r="C21" s="38">
        <v>44701</v>
      </c>
      <c r="D21" s="37">
        <v>3</v>
      </c>
      <c r="E21" s="37" t="s">
        <v>648</v>
      </c>
      <c r="F21" s="37">
        <v>1</v>
      </c>
    </row>
    <row r="22" spans="2:6" x14ac:dyDescent="0.25">
      <c r="B22" s="37" t="s">
        <v>520</v>
      </c>
      <c r="C22" s="38">
        <v>42045</v>
      </c>
      <c r="D22" s="37">
        <v>11</v>
      </c>
      <c r="E22" s="37" t="s">
        <v>648</v>
      </c>
      <c r="F22" s="37">
        <v>1</v>
      </c>
    </row>
    <row r="23" spans="2:6" x14ac:dyDescent="0.25">
      <c r="B23" s="37" t="s">
        <v>305</v>
      </c>
      <c r="C23" s="38">
        <v>42552</v>
      </c>
      <c r="D23" s="37">
        <v>9</v>
      </c>
      <c r="E23" s="37" t="s">
        <v>648</v>
      </c>
      <c r="F23" s="37">
        <v>1</v>
      </c>
    </row>
    <row r="24" spans="2:6" x14ac:dyDescent="0.25">
      <c r="B24" s="37" t="s">
        <v>512</v>
      </c>
      <c r="C24" s="38">
        <v>41359</v>
      </c>
      <c r="D24" s="37">
        <v>13</v>
      </c>
      <c r="E24" s="37" t="s">
        <v>648</v>
      </c>
      <c r="F24" s="37">
        <v>1</v>
      </c>
    </row>
    <row r="25" spans="2:6" x14ac:dyDescent="0.25">
      <c r="B25" s="37" t="s">
        <v>426</v>
      </c>
      <c r="C25" s="38">
        <v>42592</v>
      </c>
      <c r="D25" s="37">
        <v>9</v>
      </c>
      <c r="E25" s="37" t="s">
        <v>648</v>
      </c>
      <c r="F25" s="37">
        <v>1</v>
      </c>
    </row>
    <row r="26" spans="2:6" x14ac:dyDescent="0.25">
      <c r="B26" s="37" t="s">
        <v>603</v>
      </c>
      <c r="C26" s="38">
        <v>42552</v>
      </c>
      <c r="D26" s="37">
        <v>9</v>
      </c>
      <c r="E26" s="37" t="s">
        <v>648</v>
      </c>
      <c r="F26" s="37">
        <v>1</v>
      </c>
    </row>
    <row r="27" spans="2:6" x14ac:dyDescent="0.25">
      <c r="B27" s="37" t="s">
        <v>389</v>
      </c>
      <c r="C27" s="38">
        <v>42045</v>
      </c>
      <c r="D27" s="37">
        <v>11</v>
      </c>
      <c r="E27" s="37" t="s">
        <v>648</v>
      </c>
      <c r="F27" s="37">
        <v>1</v>
      </c>
    </row>
    <row r="28" spans="2:6" x14ac:dyDescent="0.25">
      <c r="B28" s="37" t="s">
        <v>399</v>
      </c>
      <c r="C28" s="38">
        <v>45804</v>
      </c>
      <c r="D28" s="37">
        <v>0</v>
      </c>
      <c r="E28" s="37" t="s">
        <v>648</v>
      </c>
      <c r="F28" s="37">
        <v>1</v>
      </c>
    </row>
    <row r="29" spans="2:6" x14ac:dyDescent="0.25">
      <c r="B29" s="37" t="s">
        <v>554</v>
      </c>
      <c r="C29" s="38">
        <v>46059</v>
      </c>
      <c r="D29" s="37">
        <v>0</v>
      </c>
      <c r="E29" s="37" t="s">
        <v>648</v>
      </c>
      <c r="F29" s="37">
        <v>1</v>
      </c>
    </row>
    <row r="30" spans="2:6" x14ac:dyDescent="0.25">
      <c r="B30" s="37" t="s">
        <v>605</v>
      </c>
      <c r="C30" s="38">
        <v>42552</v>
      </c>
      <c r="D30" s="37">
        <v>9</v>
      </c>
      <c r="E30" s="37" t="s">
        <v>648</v>
      </c>
      <c r="F30" s="37">
        <v>1</v>
      </c>
    </row>
    <row r="31" spans="2:6" x14ac:dyDescent="0.25">
      <c r="B31" s="37" t="s">
        <v>288</v>
      </c>
      <c r="C31" s="38">
        <v>40360</v>
      </c>
      <c r="D31" s="37">
        <v>15</v>
      </c>
      <c r="E31" s="37" t="s">
        <v>648</v>
      </c>
      <c r="F31" s="37">
        <v>1</v>
      </c>
    </row>
    <row r="32" spans="2:6" x14ac:dyDescent="0.25">
      <c r="B32" s="37" t="s">
        <v>607</v>
      </c>
      <c r="C32" s="38">
        <v>45152</v>
      </c>
      <c r="D32" s="37">
        <v>2</v>
      </c>
      <c r="E32" s="37" t="s">
        <v>648</v>
      </c>
      <c r="F32" s="37">
        <v>1</v>
      </c>
    </row>
    <row r="33" spans="2:6" x14ac:dyDescent="0.25">
      <c r="B33" s="37" t="s">
        <v>534</v>
      </c>
      <c r="C33" s="38">
        <v>45152</v>
      </c>
      <c r="D33" s="37">
        <v>2</v>
      </c>
      <c r="E33" s="37" t="s">
        <v>648</v>
      </c>
      <c r="F33" s="37">
        <v>1</v>
      </c>
    </row>
    <row r="34" spans="2:6" x14ac:dyDescent="0.25">
      <c r="B34" s="37" t="s">
        <v>311</v>
      </c>
      <c r="C34" s="38">
        <v>45938</v>
      </c>
      <c r="D34" s="37">
        <v>0</v>
      </c>
      <c r="E34" s="37" t="s">
        <v>648</v>
      </c>
      <c r="F34" s="37">
        <v>1</v>
      </c>
    </row>
    <row r="35" spans="2:6" x14ac:dyDescent="0.25">
      <c r="B35" s="37" t="s">
        <v>538</v>
      </c>
      <c r="C35" s="38">
        <v>45294</v>
      </c>
      <c r="D35" s="37">
        <v>2</v>
      </c>
      <c r="E35" s="37" t="s">
        <v>648</v>
      </c>
      <c r="F35" s="37">
        <v>1</v>
      </c>
    </row>
    <row r="36" spans="2:6" x14ac:dyDescent="0.25">
      <c r="B36" s="37" t="s">
        <v>550</v>
      </c>
      <c r="C36" s="38">
        <v>45839</v>
      </c>
      <c r="D36" s="37">
        <v>0</v>
      </c>
      <c r="E36" s="37" t="s">
        <v>648</v>
      </c>
      <c r="F36" s="37">
        <v>1</v>
      </c>
    </row>
    <row r="37" spans="2:6" x14ac:dyDescent="0.25">
      <c r="B37" s="37" t="s">
        <v>295</v>
      </c>
      <c r="C37" s="38">
        <v>41426</v>
      </c>
      <c r="D37" s="37">
        <v>12</v>
      </c>
      <c r="E37" s="37" t="s">
        <v>648</v>
      </c>
      <c r="F37" s="37">
        <v>1</v>
      </c>
    </row>
    <row r="38" spans="2:6" x14ac:dyDescent="0.25">
      <c r="B38" s="37" t="s">
        <v>293</v>
      </c>
      <c r="C38" s="38">
        <v>41359</v>
      </c>
      <c r="D38" s="37">
        <v>13</v>
      </c>
      <c r="E38" s="37" t="s">
        <v>648</v>
      </c>
      <c r="F38" s="37">
        <v>1</v>
      </c>
    </row>
    <row r="39" spans="2:6" x14ac:dyDescent="0.25">
      <c r="B39" s="37" t="s">
        <v>540</v>
      </c>
      <c r="C39" s="38">
        <v>45294</v>
      </c>
      <c r="D39" s="37">
        <v>2</v>
      </c>
      <c r="E39" s="37" t="s">
        <v>648</v>
      </c>
      <c r="F39" s="37">
        <v>1</v>
      </c>
    </row>
    <row r="40" spans="2:6" x14ac:dyDescent="0.25">
      <c r="B40" s="37" t="s">
        <v>401</v>
      </c>
      <c r="C40" s="38">
        <v>45804</v>
      </c>
      <c r="D40" s="37">
        <v>0</v>
      </c>
      <c r="E40" s="37" t="s">
        <v>648</v>
      </c>
      <c r="F40" s="37">
        <v>1</v>
      </c>
    </row>
    <row r="41" spans="2:6" x14ac:dyDescent="0.25">
      <c r="B41" s="37" t="s">
        <v>504</v>
      </c>
      <c r="C41" s="38">
        <v>40191</v>
      </c>
      <c r="D41" s="37">
        <v>16</v>
      </c>
      <c r="E41" s="37" t="s">
        <v>648</v>
      </c>
      <c r="F41" s="37">
        <v>1</v>
      </c>
    </row>
    <row r="42" spans="2:6" x14ac:dyDescent="0.25">
      <c r="B42" s="37" t="s">
        <v>542</v>
      </c>
      <c r="C42" s="38">
        <v>45329</v>
      </c>
      <c r="D42" s="37">
        <v>2</v>
      </c>
      <c r="E42" s="37" t="s">
        <v>648</v>
      </c>
      <c r="F42" s="37">
        <v>1</v>
      </c>
    </row>
    <row r="43" spans="2:6" x14ac:dyDescent="0.25">
      <c r="B43" s="37" t="s">
        <v>532</v>
      </c>
      <c r="C43" s="38">
        <v>45152</v>
      </c>
      <c r="D43" s="37">
        <v>2</v>
      </c>
      <c r="E43" s="37" t="s">
        <v>648</v>
      </c>
      <c r="F43" s="37">
        <v>1</v>
      </c>
    </row>
    <row r="44" spans="2:6" x14ac:dyDescent="0.25">
      <c r="B44" s="37" t="s">
        <v>424</v>
      </c>
      <c r="C44" s="38">
        <v>41680</v>
      </c>
      <c r="D44" s="37">
        <v>12</v>
      </c>
      <c r="E44" s="37" t="s">
        <v>648</v>
      </c>
      <c r="F44" s="37">
        <v>1</v>
      </c>
    </row>
    <row r="45" spans="2:6" x14ac:dyDescent="0.25">
      <c r="B45" s="37" t="s">
        <v>303</v>
      </c>
      <c r="C45" s="38">
        <v>42552</v>
      </c>
      <c r="D45" s="37">
        <v>9</v>
      </c>
      <c r="E45" s="37" t="s">
        <v>648</v>
      </c>
      <c r="F45" s="37">
        <v>1</v>
      </c>
    </row>
    <row r="46" spans="2:6" x14ac:dyDescent="0.25">
      <c r="B46" s="37" t="s">
        <v>506</v>
      </c>
      <c r="C46" s="38">
        <v>40191</v>
      </c>
      <c r="D46" s="37">
        <v>16</v>
      </c>
      <c r="E46" s="37" t="s">
        <v>648</v>
      </c>
      <c r="F46" s="37">
        <v>1</v>
      </c>
    </row>
    <row r="47" spans="2:6" x14ac:dyDescent="0.25">
      <c r="B47" s="37" t="s">
        <v>595</v>
      </c>
      <c r="C47" s="38">
        <v>41426</v>
      </c>
      <c r="D47" s="37">
        <v>12</v>
      </c>
      <c r="E47" s="37" t="s">
        <v>648</v>
      </c>
      <c r="F47" s="37">
        <v>1</v>
      </c>
    </row>
    <row r="48" spans="2:6" x14ac:dyDescent="0.25">
      <c r="B48" s="37" t="s">
        <v>418</v>
      </c>
      <c r="C48" s="38">
        <v>38842</v>
      </c>
      <c r="D48" s="37">
        <v>19</v>
      </c>
      <c r="E48" s="37" t="s">
        <v>648</v>
      </c>
      <c r="F48" s="37">
        <v>1</v>
      </c>
    </row>
    <row r="49" spans="1:6" x14ac:dyDescent="0.25">
      <c r="B49" s="37" t="s">
        <v>290</v>
      </c>
      <c r="C49" s="38">
        <v>41359</v>
      </c>
      <c r="D49" s="37">
        <v>13</v>
      </c>
      <c r="E49" s="37" t="s">
        <v>648</v>
      </c>
      <c r="F49" s="37">
        <v>1</v>
      </c>
    </row>
    <row r="50" spans="1:6" x14ac:dyDescent="0.25">
      <c r="B50" s="37" t="s">
        <v>530</v>
      </c>
      <c r="C50" s="38">
        <v>44944</v>
      </c>
      <c r="D50" s="37">
        <v>3</v>
      </c>
      <c r="E50" s="37" t="s">
        <v>648</v>
      </c>
      <c r="F50" s="37">
        <v>1</v>
      </c>
    </row>
    <row r="51" spans="1:6" x14ac:dyDescent="0.25">
      <c r="B51" s="37" t="s">
        <v>597</v>
      </c>
      <c r="C51" s="38">
        <v>41426</v>
      </c>
      <c r="D51" s="37">
        <v>12</v>
      </c>
      <c r="E51" s="37" t="s">
        <v>648</v>
      </c>
      <c r="F51" s="37">
        <v>1</v>
      </c>
    </row>
    <row r="52" spans="1:6" x14ac:dyDescent="0.25">
      <c r="B52" s="37" t="s">
        <v>375</v>
      </c>
      <c r="C52" s="38">
        <v>40856</v>
      </c>
      <c r="D52" s="37">
        <v>14</v>
      </c>
      <c r="E52" s="37" t="s">
        <v>648</v>
      </c>
      <c r="F52" s="37">
        <v>1</v>
      </c>
    </row>
    <row r="53" spans="1:6" x14ac:dyDescent="0.25">
      <c r="B53" s="37" t="s">
        <v>508</v>
      </c>
      <c r="C53" s="38">
        <v>40191</v>
      </c>
      <c r="D53" s="37">
        <v>16</v>
      </c>
      <c r="E53" s="37" t="s">
        <v>648</v>
      </c>
      <c r="F53" s="37">
        <v>1</v>
      </c>
    </row>
    <row r="54" spans="1:6" x14ac:dyDescent="0.25">
      <c r="B54" s="37" t="s">
        <v>422</v>
      </c>
      <c r="C54" s="38">
        <v>41642</v>
      </c>
      <c r="D54" s="37">
        <v>12</v>
      </c>
      <c r="E54" s="37" t="s">
        <v>648</v>
      </c>
      <c r="F54" s="37">
        <v>1</v>
      </c>
    </row>
    <row r="55" spans="1:6" x14ac:dyDescent="0.25">
      <c r="B55" s="37" t="s">
        <v>544</v>
      </c>
      <c r="C55" s="38">
        <v>45407</v>
      </c>
      <c r="D55" s="37">
        <v>1</v>
      </c>
      <c r="E55" s="37" t="s">
        <v>648</v>
      </c>
      <c r="F55" s="37">
        <v>1</v>
      </c>
    </row>
    <row r="56" spans="1:6" x14ac:dyDescent="0.25">
      <c r="B56" s="37" t="s">
        <v>397</v>
      </c>
      <c r="C56" s="38">
        <v>45518</v>
      </c>
      <c r="D56" s="37">
        <v>1</v>
      </c>
      <c r="E56" s="37" t="s">
        <v>648</v>
      </c>
      <c r="F56" s="37">
        <v>1</v>
      </c>
    </row>
    <row r="57" spans="1:6" x14ac:dyDescent="0.25">
      <c r="B57" s="37" t="s">
        <v>381</v>
      </c>
      <c r="C57" s="38">
        <v>41642</v>
      </c>
      <c r="D57" s="37">
        <v>12</v>
      </c>
      <c r="E57" s="37" t="s">
        <v>648</v>
      </c>
      <c r="F57" s="37">
        <v>1</v>
      </c>
    </row>
    <row r="58" spans="1:6" x14ac:dyDescent="0.25">
      <c r="A58" s="37" t="s">
        <v>669</v>
      </c>
      <c r="F58" s="37">
        <v>54</v>
      </c>
    </row>
    <row r="59" spans="1:6" x14ac:dyDescent="0.25">
      <c r="A59" s="37" t="s">
        <v>670</v>
      </c>
      <c r="B59" s="37" t="s">
        <v>257</v>
      </c>
      <c r="C59" s="38">
        <v>31505</v>
      </c>
      <c r="D59" s="37">
        <v>39</v>
      </c>
      <c r="E59" s="37" t="s">
        <v>648</v>
      </c>
      <c r="F59" s="37">
        <v>1</v>
      </c>
    </row>
    <row r="60" spans="1:6" x14ac:dyDescent="0.25">
      <c r="B60" s="37" t="s">
        <v>410</v>
      </c>
      <c r="C60" s="38">
        <v>32862</v>
      </c>
      <c r="D60" s="37">
        <v>36</v>
      </c>
      <c r="E60" s="37" t="s">
        <v>648</v>
      </c>
      <c r="F60" s="37">
        <v>1</v>
      </c>
    </row>
    <row r="61" spans="1:6" x14ac:dyDescent="0.25">
      <c r="B61" s="37" t="s">
        <v>412</v>
      </c>
      <c r="C61" s="38">
        <v>32940</v>
      </c>
      <c r="D61" s="37">
        <v>36</v>
      </c>
      <c r="E61" s="37" t="s">
        <v>648</v>
      </c>
      <c r="F61" s="37">
        <v>1</v>
      </c>
    </row>
    <row r="62" spans="1:6" x14ac:dyDescent="0.25">
      <c r="B62" s="37" t="s">
        <v>347</v>
      </c>
      <c r="C62" s="38">
        <v>31306</v>
      </c>
      <c r="D62" s="37">
        <v>40</v>
      </c>
      <c r="E62" s="37" t="s">
        <v>648</v>
      </c>
      <c r="F62" s="37">
        <v>1</v>
      </c>
    </row>
    <row r="63" spans="1:6" x14ac:dyDescent="0.25">
      <c r="B63" s="37" t="s">
        <v>349</v>
      </c>
      <c r="C63" s="38">
        <v>31306</v>
      </c>
      <c r="D63" s="37">
        <v>40</v>
      </c>
      <c r="E63" s="37" t="s">
        <v>648</v>
      </c>
      <c r="F63" s="37">
        <v>1</v>
      </c>
    </row>
    <row r="64" spans="1:6" x14ac:dyDescent="0.25">
      <c r="B64" s="37" t="s">
        <v>332</v>
      </c>
      <c r="C64" s="38">
        <v>29313</v>
      </c>
      <c r="D64" s="37">
        <v>45</v>
      </c>
      <c r="E64" s="37" t="s">
        <v>648</v>
      </c>
      <c r="F64" s="37">
        <v>1</v>
      </c>
    </row>
    <row r="65" spans="1:6" ht="30" x14ac:dyDescent="0.25">
      <c r="B65" s="37" t="s">
        <v>351</v>
      </c>
      <c r="C65" s="38">
        <v>31505</v>
      </c>
      <c r="D65" s="37">
        <v>39</v>
      </c>
      <c r="E65" s="37" t="s">
        <v>648</v>
      </c>
      <c r="F65" s="37">
        <v>1</v>
      </c>
    </row>
    <row r="66" spans="1:6" x14ac:dyDescent="0.25">
      <c r="B66" s="37" t="s">
        <v>353</v>
      </c>
      <c r="C66" s="38">
        <v>31976</v>
      </c>
      <c r="D66" s="37">
        <v>38</v>
      </c>
      <c r="E66" s="37" t="s">
        <v>648</v>
      </c>
      <c r="F66" s="37">
        <v>1</v>
      </c>
    </row>
    <row r="67" spans="1:6" x14ac:dyDescent="0.25">
      <c r="B67" s="37" t="s">
        <v>416</v>
      </c>
      <c r="C67" s="38">
        <v>36144</v>
      </c>
      <c r="D67" s="37">
        <v>27</v>
      </c>
      <c r="E67" s="37" t="s">
        <v>648</v>
      </c>
      <c r="F67" s="37">
        <v>1</v>
      </c>
    </row>
    <row r="68" spans="1:6" x14ac:dyDescent="0.25">
      <c r="B68" s="37" t="s">
        <v>486</v>
      </c>
      <c r="C68" s="38">
        <v>36612</v>
      </c>
      <c r="D68" s="37">
        <v>26</v>
      </c>
      <c r="E68" s="37" t="s">
        <v>648</v>
      </c>
      <c r="F68" s="37">
        <v>1</v>
      </c>
    </row>
    <row r="69" spans="1:6" x14ac:dyDescent="0.25">
      <c r="B69" s="37" t="s">
        <v>261</v>
      </c>
      <c r="C69" s="38">
        <v>31897</v>
      </c>
      <c r="D69" s="37">
        <v>38</v>
      </c>
      <c r="E69" s="37" t="s">
        <v>648</v>
      </c>
      <c r="F69" s="37">
        <v>1</v>
      </c>
    </row>
    <row r="70" spans="1:6" x14ac:dyDescent="0.25">
      <c r="B70" s="37" t="s">
        <v>253</v>
      </c>
      <c r="C70" s="38">
        <v>31240</v>
      </c>
      <c r="D70" s="37">
        <v>40</v>
      </c>
      <c r="E70" s="37" t="s">
        <v>648</v>
      </c>
      <c r="F70" s="37">
        <v>1</v>
      </c>
    </row>
    <row r="71" spans="1:6" x14ac:dyDescent="0.25">
      <c r="B71" s="37" t="s">
        <v>334</v>
      </c>
      <c r="C71" s="38">
        <v>29479</v>
      </c>
      <c r="D71" s="37">
        <v>45</v>
      </c>
      <c r="E71" s="37" t="s">
        <v>648</v>
      </c>
      <c r="F71" s="37">
        <v>1</v>
      </c>
    </row>
    <row r="72" spans="1:6" ht="30" x14ac:dyDescent="0.25">
      <c r="B72" s="37" t="s">
        <v>361</v>
      </c>
      <c r="C72" s="38">
        <v>33147</v>
      </c>
      <c r="D72" s="37">
        <v>35</v>
      </c>
      <c r="E72" s="37" t="s">
        <v>648</v>
      </c>
      <c r="F72" s="37">
        <v>1</v>
      </c>
    </row>
    <row r="73" spans="1:6" x14ac:dyDescent="0.25">
      <c r="B73" s="37" t="s">
        <v>355</v>
      </c>
      <c r="C73" s="38">
        <v>32002</v>
      </c>
      <c r="D73" s="37">
        <v>38</v>
      </c>
      <c r="E73" s="37" t="s">
        <v>648</v>
      </c>
      <c r="F73" s="37">
        <v>1</v>
      </c>
    </row>
    <row r="74" spans="1:6" x14ac:dyDescent="0.25">
      <c r="B74" s="37" t="s">
        <v>567</v>
      </c>
      <c r="C74" s="38">
        <v>31897</v>
      </c>
      <c r="D74" s="37">
        <v>38</v>
      </c>
      <c r="E74" s="37" t="s">
        <v>648</v>
      </c>
      <c r="F74" s="37">
        <v>1</v>
      </c>
    </row>
    <row r="75" spans="1:6" x14ac:dyDescent="0.25">
      <c r="A75" s="37" t="s">
        <v>671</v>
      </c>
      <c r="F75" s="37">
        <v>16</v>
      </c>
    </row>
    <row r="76" spans="1:6" x14ac:dyDescent="0.25">
      <c r="A76" s="37" t="s">
        <v>672</v>
      </c>
      <c r="B76" s="37" t="s">
        <v>404</v>
      </c>
      <c r="C76" s="38">
        <v>27282</v>
      </c>
      <c r="D76" s="37">
        <v>51</v>
      </c>
      <c r="E76" s="37" t="s">
        <v>648</v>
      </c>
      <c r="F76" s="37">
        <v>1</v>
      </c>
    </row>
    <row r="77" spans="1:6" x14ac:dyDescent="0.25">
      <c r="B77" s="37" t="s">
        <v>328</v>
      </c>
      <c r="C77" s="38">
        <v>27190</v>
      </c>
      <c r="D77" s="37">
        <v>51</v>
      </c>
      <c r="E77" s="37" t="s">
        <v>648</v>
      </c>
      <c r="F77" s="37">
        <v>1</v>
      </c>
    </row>
    <row r="78" spans="1:6" x14ac:dyDescent="0.25">
      <c r="A78" s="37" t="s">
        <v>673</v>
      </c>
      <c r="F78" s="37">
        <v>2</v>
      </c>
    </row>
    <row r="79" spans="1:6" x14ac:dyDescent="0.25">
      <c r="A79" s="37" t="s">
        <v>635</v>
      </c>
      <c r="F79" s="37">
        <v>72</v>
      </c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93C56F5-1FB5-40B8-ADE3-4D08E4E16BD9}">
  <ds:schemaRefs/>
</ds:datastoreItem>
</file>

<file path=customXml/itemProps2.xml><?xml version="1.0" encoding="utf-8"?>
<ds:datastoreItem xmlns:ds="http://schemas.openxmlformats.org/officeDocument/2006/customXml" ds:itemID="{2F0EF9EB-FF28-41E5-A4B8-9536337C3678}">
  <ds:schemaRefs/>
</ds:datastoreItem>
</file>

<file path=customXml/itemProps3.xml><?xml version="1.0" encoding="utf-8"?>
<ds:datastoreItem xmlns:ds="http://schemas.openxmlformats.org/officeDocument/2006/customXml" ds:itemID="{6725A55E-7FC1-4E9C-B630-301BEE210014}">
  <ds:schemaRefs/>
</ds:datastoreItem>
</file>

<file path=customXml/itemProps4.xml><?xml version="1.0" encoding="utf-8"?>
<ds:datastoreItem xmlns:ds="http://schemas.openxmlformats.org/officeDocument/2006/customXml" ds:itemID="{A2D0D45B-DF1E-47E9-A814-A925103AA0E0}">
  <ds:schemaRefs/>
</ds:datastoreItem>
</file>

<file path=customXml/itemProps5.xml><?xml version="1.0" encoding="utf-8"?>
<ds:datastoreItem xmlns:ds="http://schemas.openxmlformats.org/officeDocument/2006/customXml" ds:itemID="{F9B75CD5-D1C2-471A-8816-70525FC52C72}">
  <ds:schemaRefs/>
</ds:datastoreItem>
</file>

<file path=customXml/itemProps6.xml><?xml version="1.0" encoding="utf-8"?>
<ds:datastoreItem xmlns:ds="http://schemas.openxmlformats.org/officeDocument/2006/customXml" ds:itemID="{702D708D-A24C-42EE-A957-2063EF840D94}">
  <ds:schemaRefs/>
</ds:datastoreItem>
</file>

<file path=customXml/itemProps7.xml><?xml version="1.0" encoding="utf-8"?>
<ds:datastoreItem xmlns:ds="http://schemas.openxmlformats.org/officeDocument/2006/customXml" ds:itemID="{CA10FC22-5F76-4A1D-9499-CEDEFF630D6D}">
  <ds:schemaRefs/>
</ds:datastoreItem>
</file>

<file path=customXml/itemProps8.xml><?xml version="1.0" encoding="utf-8"?>
<ds:datastoreItem xmlns:ds="http://schemas.openxmlformats.org/officeDocument/2006/customXml" ds:itemID="{DE03760B-D328-4CB9-9C6E-E3A41CDF33EE}">
  <ds:schemaRefs/>
</ds:datastoreItem>
</file>

<file path=customXml/itemProps9.xml><?xml version="1.0" encoding="utf-8"?>
<ds:datastoreItem xmlns:ds="http://schemas.openxmlformats.org/officeDocument/2006/customXml" ds:itemID="{071E6B3D-166D-481C-97DD-A874703A844F}">
  <ds:schemaRefs/>
</ds:datastoreItem>
</file>

<file path=customXml/itemProps10.xml><?xml version="1.0" encoding="utf-8"?>
<ds:datastoreItem xmlns:ds="http://schemas.openxmlformats.org/officeDocument/2006/customXml" ds:itemID="{0244087E-FF2B-460C-BC1B-51884031A45C}">
  <ds:schemaRefs/>
</ds:datastoreItem>
</file>

<file path=customXml/itemProps11.xml><?xml version="1.0" encoding="utf-8"?>
<ds:datastoreItem xmlns:ds="http://schemas.openxmlformats.org/officeDocument/2006/customXml" ds:itemID="{970F176D-85DD-46DC-AB27-49E2C80C46B1}">
  <ds:schemaRefs/>
</ds:datastoreItem>
</file>

<file path=customXml/itemProps12.xml><?xml version="1.0" encoding="utf-8"?>
<ds:datastoreItem xmlns:ds="http://schemas.openxmlformats.org/officeDocument/2006/customXml" ds:itemID="{2EA62767-8D29-4F8A-832C-BE50F95FB3B8}">
  <ds:schemaRefs/>
</ds:datastoreItem>
</file>

<file path=customXml/itemProps13.xml><?xml version="1.0" encoding="utf-8"?>
<ds:datastoreItem xmlns:ds="http://schemas.openxmlformats.org/officeDocument/2006/customXml" ds:itemID="{BB4A25A4-ED51-4E33-902A-C941DE57E5B6}">
  <ds:schemaRefs/>
</ds:datastoreItem>
</file>

<file path=customXml/itemProps14.xml><?xml version="1.0" encoding="utf-8"?>
<ds:datastoreItem xmlns:ds="http://schemas.openxmlformats.org/officeDocument/2006/customXml" ds:itemID="{22D3FDC3-74AA-4806-922D-67468C3F85AE}">
  <ds:schemaRefs/>
</ds:datastoreItem>
</file>

<file path=customXml/itemProps15.xml><?xml version="1.0" encoding="utf-8"?>
<ds:datastoreItem xmlns:ds="http://schemas.openxmlformats.org/officeDocument/2006/customXml" ds:itemID="{6009421B-6EF7-42D3-9C3A-52600F8E9F06}">
  <ds:schemaRefs/>
</ds:datastoreItem>
</file>

<file path=customXml/itemProps16.xml><?xml version="1.0" encoding="utf-8"?>
<ds:datastoreItem xmlns:ds="http://schemas.openxmlformats.org/officeDocument/2006/customXml" ds:itemID="{6A5CEA7E-DFDD-4AE6-A1B1-5AFF4030C1BB}">
  <ds:schemaRefs/>
</ds:datastoreItem>
</file>

<file path=customXml/itemProps17.xml><?xml version="1.0" encoding="utf-8"?>
<ds:datastoreItem xmlns:ds="http://schemas.openxmlformats.org/officeDocument/2006/customXml" ds:itemID="{146D09FA-4C28-4506-A459-9B6C5963086C}">
  <ds:schemaRefs/>
</ds:datastoreItem>
</file>

<file path=customXml/itemProps18.xml><?xml version="1.0" encoding="utf-8"?>
<ds:datastoreItem xmlns:ds="http://schemas.openxmlformats.org/officeDocument/2006/customXml" ds:itemID="{0F6487AF-3D40-4DD0-B95A-62492796EDE8}">
  <ds:schemaRefs/>
</ds:datastoreItem>
</file>

<file path=customXml/itemProps19.xml><?xml version="1.0" encoding="utf-8"?>
<ds:datastoreItem xmlns:ds="http://schemas.openxmlformats.org/officeDocument/2006/customXml" ds:itemID="{48D7145C-AB7C-4C2D-A756-B90E9FACD696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3538DAC1-1F4A-4607-AF28-CB516AF60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Category Wise Data</vt:lpstr>
      <vt:lpstr>DATA 2026-27</vt:lpstr>
      <vt:lpstr>SUMMARY</vt:lpstr>
      <vt:lpstr>Sheet11</vt:lpstr>
      <vt:lpstr>NOTIFICATION DATE</vt:lpstr>
      <vt:lpstr>CATEGORY</vt:lpstr>
      <vt:lpstr>Mega</vt:lpstr>
      <vt:lpstr>LARGE</vt:lpstr>
      <vt:lpstr>MEDIUM</vt:lpstr>
      <vt:lpstr>SMALL</vt:lpstr>
      <vt:lpstr>MICRO</vt:lpstr>
      <vt:lpstr>LARGE!budget_branch</vt:lpstr>
      <vt:lpstr>MEDIUM!budget_branch</vt:lpstr>
      <vt:lpstr>MICRO!budget_branch</vt:lpstr>
      <vt:lpstr>SMALL!budget_branch</vt:lpstr>
      <vt:lpstr>budget_branch</vt:lpstr>
      <vt:lpstr>SUMMARY!Print_Area</vt:lpstr>
      <vt:lpstr>'DATA 2026-27'!Print_Titles</vt:lpstr>
      <vt:lpstr>RNG_STUDENT_CATEGORY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RBA ICAI</dc:creator>
  <cp:lastModifiedBy>RBA ICAI</cp:lastModifiedBy>
  <cp:lastPrinted>2026-05-06T10:04:32Z</cp:lastPrinted>
  <dcterms:created xsi:type="dcterms:W3CDTF">2026-03-10T05:15:36Z</dcterms:created>
  <dcterms:modified xsi:type="dcterms:W3CDTF">2026-05-29T10:30:50Z</dcterms:modified>
</cp:coreProperties>
</file>